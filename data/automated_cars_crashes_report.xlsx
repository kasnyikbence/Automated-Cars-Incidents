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Projektek\DataAnalyst\Excel\"/>
    </mc:Choice>
  </mc:AlternateContent>
  <xr:revisionPtr revIDLastSave="0" documentId="13_ncr:1_{C9C5B4AD-1EE3-498A-9582-DD8569B19C30}" xr6:coauthVersionLast="47" xr6:coauthVersionMax="47" xr10:uidLastSave="{00000000-0000-0000-0000-000000000000}"/>
  <bookViews>
    <workbookView xWindow="-120" yWindow="-120" windowWidth="29040" windowHeight="16440" xr2:uid="{BDC71C3A-A80E-4DA9-93C3-19DE74ADCA05}"/>
  </bookViews>
  <sheets>
    <sheet name="automated_driving_report_histor" sheetId="2" r:id="rId1"/>
    <sheet name="Sheet2" sheetId="3" r:id="rId2"/>
  </sheets>
  <definedNames>
    <definedName name="ExternalData_1" localSheetId="0" hidden="1">automated_driving_report_histor!$A$1:$AH$116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15" i="3" l="1"/>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1B10F1-C341-412E-B80C-E6D40D61E53E}" keepAlive="1" name="Query - automated_driving_report_history_cleaned" description="Connection to the 'automated_driving_report_history_cleaned' query in the workbook." type="5" refreshedVersion="8" background="1" saveData="1">
    <dbPr connection="Provider=Microsoft.Mashup.OleDb.1;Data Source=$Workbook$;Location=automated_driving_report_history_cleaned;Extended Properties=&quot;&quot;" command="SELECT * FROM [automated_driving_report_history_cleaned]"/>
  </connection>
</connections>
</file>

<file path=xl/sharedStrings.xml><?xml version="1.0" encoding="utf-8"?>
<sst xmlns="http://schemas.openxmlformats.org/spreadsheetml/2006/main" count="2315" uniqueCount="796">
  <si>
    <t>record_id</t>
  </si>
  <si>
    <t>report_id</t>
  </si>
  <si>
    <t>report_version</t>
  </si>
  <si>
    <t>schema_period</t>
  </si>
  <si>
    <t>automation_category</t>
  </si>
  <si>
    <t>reporting_entity</t>
  </si>
  <si>
    <t>report_type</t>
  </si>
  <si>
    <t>report_submission_date</t>
  </si>
  <si>
    <t>same_vehicle_id</t>
  </si>
  <si>
    <t>make</t>
  </si>
  <si>
    <t>model</t>
  </si>
  <si>
    <t>model_year</t>
  </si>
  <si>
    <t>automation_system_engaged</t>
  </si>
  <si>
    <t>engagement_status</t>
  </si>
  <si>
    <t>incident_date</t>
  </si>
  <si>
    <t>incident_year</t>
  </si>
  <si>
    <t>incident_month</t>
  </si>
  <si>
    <t>same_incident_id</t>
  </si>
  <si>
    <t>latitude</t>
  </si>
  <si>
    <t>longitude</t>
  </si>
  <si>
    <t>city</t>
  </si>
  <si>
    <t>state</t>
  </si>
  <si>
    <t>roadway_type</t>
  </si>
  <si>
    <t>crash_with</t>
  </si>
  <si>
    <t>highest_injury_severity_alleged</t>
  </si>
  <si>
    <t>is_fatal</t>
  </si>
  <si>
    <t>has_injury</t>
  </si>
  <si>
    <t>has_hospitalization</t>
  </si>
  <si>
    <t>vulnerable_road_user_involved</t>
  </si>
  <si>
    <t>airbag_deployed</t>
  </si>
  <si>
    <t>vehicle_towed</t>
  </si>
  <si>
    <t>police_report_available</t>
  </si>
  <si>
    <t>narrative</t>
  </si>
  <si>
    <t>10003-2800-v4</t>
  </si>
  <si>
    <t>10003-2800</t>
  </si>
  <si>
    <t>archive_2021_to_2025</t>
  </si>
  <si>
    <t>ADAS</t>
  </si>
  <si>
    <t>Navistar, Inc.</t>
  </si>
  <si>
    <t>Update</t>
  </si>
  <si>
    <t>6b21a70177dcc64</t>
  </si>
  <si>
    <t>International</t>
  </si>
  <si>
    <t>LT</t>
  </si>
  <si>
    <t>Unknown, see Narrative</t>
  </si>
  <si>
    <t/>
  </si>
  <si>
    <t>d7397a577eefe45</t>
  </si>
  <si>
    <t>Maxatawny Tounship</t>
  </si>
  <si>
    <t>PA</t>
  </si>
  <si>
    <t>Street</t>
  </si>
  <si>
    <t>Other Fixed Object</t>
  </si>
  <si>
    <t>Unknown</t>
  </si>
  <si>
    <t>This vehicle is equipped with Lane Keep Assist feature. This crash occurred as unit 1 was going North on [XXX] ([XXX]) in Maxatawny Township, Berks County. Unit 1 then went off the righthand side of the roadway and struck a house. Unit 1 was towed from the scene. Operator 1 and the homeowner were transported to nearby local hospital to be treated for minor injuries.</t>
  </si>
  <si>
    <t>10003-2932-v1</t>
  </si>
  <si>
    <t>10003-2932</t>
  </si>
  <si>
    <t>ADS</t>
  </si>
  <si>
    <t>Monthly</t>
  </si>
  <si>
    <t>Maxatawny Township</t>
  </si>
  <si>
    <t>This vehicle is equipped with Lane Keep Assist feature. The posted speed limit the subject vehicle was operating at time of incident is 25 MPH and the Lane Keep Assist Feature cannot be activated at speeds below 37 MPH. This crash occurred as unit 1 was going North on [XXX] in Maxatawny Township, Berks County. Unit 1 then went off the right side of the roadway and struck a house. Unit 1 was towed from the scene. Operator 1 and homeowner were transported to nearby local hospital to be treated for minor injuries.</t>
  </si>
  <si>
    <t>10003-3210-v1</t>
  </si>
  <si>
    <t>10003-3210</t>
  </si>
  <si>
    <t>19fed228241ac11</t>
  </si>
  <si>
    <t>LT625</t>
  </si>
  <si>
    <t>59d489f93e681d4</t>
  </si>
  <si>
    <t>Tucson</t>
  </si>
  <si>
    <t>AZ</t>
  </si>
  <si>
    <t>Highway / Freeway</t>
  </si>
  <si>
    <t>No Injuries Reported</t>
  </si>
  <si>
    <t>All of the data in this report and the following text is an excerpt from TuSimples original submission (30370-2949-1) and constitutes Navistars sole understanding of this event._x000D_
TuSimple's position is that this event does not meet the criteria for reporting under the SGO._x000D_
Specifically, the L4 ADS was not in operation at any point in the 30 seconds prior to making contact with the concrete barrier._x000D_
The event occurred as follows:_x000D_
As the truck was being operated on the highway, within its mapped ODD, the driver and test engineer attempted to engage the ADS._x000D_
However, the ADS was not functional at that moment due to the computer unit not having been initialized, and should not have been_x000D_
attempted to be activated. In short, this was a failed attempt to engage the system as a result of human error._x000D_
The system has now been modified to prevent the ADS from attempting to engage unless the health of the system is fully functional to_x000D_
prevent human error from repeating this event._x000D_
When the erroneous attempt to engage occurred, the uninitialized vehicle control unit rotated the steering to the left, causing the truck to_x000D_
veer left. The safety driver took control of the steering, and was able to steer accordingly, but not before the left front truck tire and left_x000D_
front quarter panel came into contact with the concrete barrier to the left of the lanes of travel.</t>
  </si>
  <si>
    <t>10003-4179-v1</t>
  </si>
  <si>
    <t>10003-4179</t>
  </si>
  <si>
    <t>1-Day</t>
  </si>
  <si>
    <t>2edb735ade65325</t>
  </si>
  <si>
    <t>a85241c65b196c7</t>
  </si>
  <si>
    <t>N/A</t>
  </si>
  <si>
    <t>MD</t>
  </si>
  <si>
    <t>Passenger Car</t>
  </si>
  <si>
    <t>At this time, the status of the LKA system during this event is unknown. Vehicles 1 and 2 were Southbound on [XXX] at the [XXX]. V1 (Lexus) was in lane 2 (Middle Lane) and V2 (truck) was in lane 3 (Right lane). V1 began drifting into lane 3 subsequently striking the left front of V2. Both vehicles then lost control and exited the roadway. V2 then overturned on the sight side embankment. Operator of V1 was issued citation.</t>
  </si>
  <si>
    <t>10003-6050-v2</t>
  </si>
  <si>
    <t>10003-6050</t>
  </si>
  <si>
    <t>b118d2fffb95a30</t>
  </si>
  <si>
    <t>107615b2f60ddf7</t>
  </si>
  <si>
    <t>Natural Bridge</t>
  </si>
  <si>
    <t>VA</t>
  </si>
  <si>
    <t>This vehicle is equipped with Lane Keep Assist (LKA) feature. At this time, the status of the LKA system during this event is unknown. Vehicle 1 (V1) was Northbound on [XXX] in [XXX] County near Natural Bridge, Virginia. As stated in the police report, V1 ran off road left, struck the guardrail, went over embankment, and struck several trees. V1 was towed from the scene and operator of V1 was issued a citation. The road at the crash location curves to the right. Available EDR data indicates no significant changes in speed or direction in the 7 seconds prior to the incident.</t>
  </si>
  <si>
    <t>10039-10291-v3</t>
  </si>
  <si>
    <t>10039-10291</t>
  </si>
  <si>
    <t>BMW of North America, LLC</t>
  </si>
  <si>
    <t>b9b971d94a0ba4e</t>
  </si>
  <si>
    <t>BMW</t>
  </si>
  <si>
    <t>i5 xDrive40</t>
  </si>
  <si>
    <t>80af11971012830</t>
  </si>
  <si>
    <t>Washington</t>
  </si>
  <si>
    <t>NJ</t>
  </si>
  <si>
    <t>Minor</t>
  </si>
  <si>
    <t>[REDACTED, MAY CONTAIN CONFIDENTIAL BUSINESS INFORMATION]</t>
  </si>
  <si>
    <t>10039-10316-v4</t>
  </si>
  <si>
    <t>10039-10316</t>
  </si>
  <si>
    <t>a5816bcbe3d02fd</t>
  </si>
  <si>
    <t>XM</t>
  </si>
  <si>
    <t>4b7b5c197df23b5</t>
  </si>
  <si>
    <t>Benton County</t>
  </si>
  <si>
    <t>AR</t>
  </si>
  <si>
    <t>First Responder Vehicle</t>
  </si>
  <si>
    <t>10039-11989-v5</t>
  </si>
  <si>
    <t>10039-11989</t>
  </si>
  <si>
    <t>third_amendment_2025_plus</t>
  </si>
  <si>
    <t>6db33c569cf4c36</t>
  </si>
  <si>
    <t>X5</t>
  </si>
  <si>
    <t>Verified Engaged</t>
  </si>
  <si>
    <t>cdfe07af14c61c9</t>
  </si>
  <si>
    <t>Summit-Argo</t>
  </si>
  <si>
    <t>IL</t>
  </si>
  <si>
    <t>10039-13203-v4</t>
  </si>
  <si>
    <t>10039-13203</t>
  </si>
  <si>
    <t>7eec1752edce137</t>
  </si>
  <si>
    <t>X3</t>
  </si>
  <si>
    <t>62bf650416b01c3</t>
  </si>
  <si>
    <t>UNK</t>
  </si>
  <si>
    <t>Pole / Tree</t>
  </si>
  <si>
    <t>10039-13214-v1</t>
  </si>
  <si>
    <t>10039-13214</t>
  </si>
  <si>
    <t>5-Day</t>
  </si>
  <si>
    <t>53943a538591e8e</t>
  </si>
  <si>
    <t>M5</t>
  </si>
  <si>
    <t>1ab2b4790cb2329</t>
  </si>
  <si>
    <t>Teaneck</t>
  </si>
  <si>
    <t>10039-13368-v2</t>
  </si>
  <si>
    <t>10039-13368</t>
  </si>
  <si>
    <t>42ec1ce85ed7921</t>
  </si>
  <si>
    <t>530i</t>
  </si>
  <si>
    <t>5342e690698d92a</t>
  </si>
  <si>
    <t>Winston-Salem</t>
  </si>
  <si>
    <t>NC</t>
  </si>
  <si>
    <t>10039-14285-v1</t>
  </si>
  <si>
    <t>10039-14285</t>
  </si>
  <si>
    <t>cafa4cebf6badcf</t>
  </si>
  <si>
    <t>Countryman</t>
  </si>
  <si>
    <t>33822617cd21c71</t>
  </si>
  <si>
    <t>Karnack</t>
  </si>
  <si>
    <t>TX</t>
  </si>
  <si>
    <t>Rural Road</t>
  </si>
  <si>
    <t>10039-14855-v1</t>
  </si>
  <si>
    <t>10039-14855</t>
  </si>
  <si>
    <t>482d8db2461f0df</t>
  </si>
  <si>
    <t>i4</t>
  </si>
  <si>
    <t>abacd503f95382e</t>
  </si>
  <si>
    <t>Dover</t>
  </si>
  <si>
    <t>DE</t>
  </si>
  <si>
    <t>Heavy Truck</t>
  </si>
  <si>
    <t>10039-14963-v1</t>
  </si>
  <si>
    <t>10039-14963</t>
  </si>
  <si>
    <t>e5373c34a49ad0d</t>
  </si>
  <si>
    <t>X7</t>
  </si>
  <si>
    <t>a007315451fa04a</t>
  </si>
  <si>
    <t>North Brunswick</t>
  </si>
  <si>
    <t>10039-1520-v4</t>
  </si>
  <si>
    <t>10039-1520</t>
  </si>
  <si>
    <t>eb15b4d48604ec6</t>
  </si>
  <si>
    <t>X5M</t>
  </si>
  <si>
    <t>78c121e2e008b3b</t>
  </si>
  <si>
    <t>sacramento</t>
  </si>
  <si>
    <t>CA</t>
  </si>
  <si>
    <t>Final Update December [XXX], 2021: [REDACTED CONFIDENTIAL BUSINESS INFORMATION]_x000D_
As of November [XXX], 2021, there is no update. _x000D_
As of November [XXX], 2021, there is no update. _x000D_
Per the insurance company, the customer allegedly [REDACTED CONFIDENTIAL BUSINESS INFORMATION]</t>
  </si>
  <si>
    <t>10039-1548-v5</t>
  </si>
  <si>
    <t>10039-1548</t>
  </si>
  <si>
    <t>b04a9a933304ad0</t>
  </si>
  <si>
    <t>Houston</t>
  </si>
  <si>
    <t>Final Update November [XXX], 2021: [REDACTED CONFIDENTIAL BUSINESS INFORMATION]_x000D_
As of November [XXX], 2021, there is no update. _x000D_
According to the customer, [REDACTED CONFIDENTIAL BUSINESS INFORMATION]</t>
  </si>
  <si>
    <t>10039-3261-v4</t>
  </si>
  <si>
    <t>10039-3261</t>
  </si>
  <si>
    <t>a7c7ebd42ad7f0a</t>
  </si>
  <si>
    <t>540i</t>
  </si>
  <si>
    <t>a16e8321a043d3c</t>
  </si>
  <si>
    <t>Watermill</t>
  </si>
  <si>
    <t>NY</t>
  </si>
  <si>
    <t>Customer narrative:  [REDACTED, MAY CONTAIN CONFIDENTIAL BUSINESS INFORMATION]_x000D_
BMW comment:  [REDACTED, MAY CONTAIN CONFIDENTIAL BUSINESS INFORMATION]</t>
  </si>
  <si>
    <t>10039-3997-v3</t>
  </si>
  <si>
    <t>10039-3997</t>
  </si>
  <si>
    <t>10-Day Update</t>
  </si>
  <si>
    <t>ad2ea12f2fb7279</t>
  </si>
  <si>
    <t>X5 sDrive40i</t>
  </si>
  <si>
    <t>b0d7623135b08c0</t>
  </si>
  <si>
    <t>Refugio</t>
  </si>
  <si>
    <t>Serious</t>
  </si>
  <si>
    <t>Customer states on the evening of May [XXX], 2022, the vehicle was traveling SB on [XXX] in Refugio, TX.  Customer stated that he was in the right lane driving at a speed of approximately 75 mph when he came upon an animal blocking his path. Trying to avoid the animal, the driver veered left, towards the center median/ditch. Customer stated that in an attempt to stay out of the ditch the customer overcorrected the vehicle and drove the vehicle off the right (west) side of the road and into a tree located on the west shoulder. _x000D_
[REDACTED, MAY CONTAIN CONFIDENTIAL BUSINESS INFORMATION]</t>
  </si>
  <si>
    <t>10039-4636-v4</t>
  </si>
  <si>
    <t>10039-4636</t>
  </si>
  <si>
    <t>b41dfbb469894c8</t>
  </si>
  <si>
    <t>5e2e6831c0f278a</t>
  </si>
  <si>
    <t>Fairfield</t>
  </si>
  <si>
    <t>Customer states on December [XXX], 2022, at 7:05 AM, she was driving NE on [XXX] in Fairfield, California.  Customer states she was driving at approximately 70mph, using active cruise control and lane steering assistant.  Customer stated she fell asleep while driving for about 30 seconds.  Customer stated that the vehicle veered left, crossing 2 lanes and collided into a barrier on the front right side.  The vehicle rolled once and landed right side up inside a work zone.  The driver was transported to the hospital and released with minor injuries._x000D_
1/23/2023- 10 Day Update- [REDACTED, MAY CONTAIN CONFIDENTIAL BUSINESS INFORMATION]_x000D_
2/15/2023- Monthly update- [REDACTED, MAY CONTAIN CONFIDENTIAL BUSINESS INFORMATION]</t>
  </si>
  <si>
    <t>10039-4932-v5</t>
  </si>
  <si>
    <t>10039-4932</t>
  </si>
  <si>
    <t>2413c588f95422d</t>
  </si>
  <si>
    <t>745e xDrive</t>
  </si>
  <si>
    <t>aa89214715e1b1f</t>
  </si>
  <si>
    <t>Waltham</t>
  </si>
  <si>
    <t>MA</t>
  </si>
  <si>
    <t>10039-5057-v4</t>
  </si>
  <si>
    <t>10039-5057</t>
  </si>
  <si>
    <t>825e14d419cb14e</t>
  </si>
  <si>
    <t>X5 M50i</t>
  </si>
  <si>
    <t>c39062638c4bc4c</t>
  </si>
  <si>
    <t>Phoenix</t>
  </si>
  <si>
    <t>Van</t>
  </si>
  <si>
    <t>Moderate</t>
  </si>
  <si>
    <t>10039-6029-v5</t>
  </si>
  <si>
    <t>10039-6029</t>
  </si>
  <si>
    <t>d7778038a2eeea6</t>
  </si>
  <si>
    <t>iX xDrive50</t>
  </si>
  <si>
    <t>f9ac60f561cdde2</t>
  </si>
  <si>
    <t>10039-6771-v3</t>
  </si>
  <si>
    <t>10039-6771</t>
  </si>
  <si>
    <t>d10aeeac381d8fc</t>
  </si>
  <si>
    <t>X5 xDrive45e</t>
  </si>
  <si>
    <t>0fab32ab3e6ced6</t>
  </si>
  <si>
    <t>Paramus</t>
  </si>
  <si>
    <t>10039-6833-v4</t>
  </si>
  <si>
    <t>10039-6833</t>
  </si>
  <si>
    <t>29c2d5bc98ea995</t>
  </si>
  <si>
    <t>dd9ce4e15764e8f</t>
  </si>
  <si>
    <t>Bel Air</t>
  </si>
  <si>
    <t>10039-7994-v3</t>
  </si>
  <si>
    <t>10039-7994</t>
  </si>
  <si>
    <t>d56505d127b8df8</t>
  </si>
  <si>
    <t>M440i xDrive Coupe</t>
  </si>
  <si>
    <t>0edea2f71d88716</t>
  </si>
  <si>
    <t>Coco Beach</t>
  </si>
  <si>
    <t>FL</t>
  </si>
  <si>
    <t>10039-8653-v3</t>
  </si>
  <si>
    <t>10039-8653</t>
  </si>
  <si>
    <t>536b485dac7c987</t>
  </si>
  <si>
    <t>i4 eDrive35</t>
  </si>
  <si>
    <t>c600faae8e2c77b</t>
  </si>
  <si>
    <t>10039-8934-v2</t>
  </si>
  <si>
    <t>10039-8934</t>
  </si>
  <si>
    <t>7b2b26c9c1bf742</t>
  </si>
  <si>
    <t>i7 xDrive60</t>
  </si>
  <si>
    <t>ff4b2addf99ef23</t>
  </si>
  <si>
    <t>10039-9008-v3</t>
  </si>
  <si>
    <t>10039-9008</t>
  </si>
  <si>
    <t>f1e63eee864a3f3</t>
  </si>
  <si>
    <t>631fce8447939ef</t>
  </si>
  <si>
    <t>Upland</t>
  </si>
  <si>
    <t>10039-9040-v4</t>
  </si>
  <si>
    <t>10039-9040</t>
  </si>
  <si>
    <t>bae8245a741c806</t>
  </si>
  <si>
    <t>760i xDrive Sedan</t>
  </si>
  <si>
    <t>a0027274e716a33</t>
  </si>
  <si>
    <t>10039-9272-v2</t>
  </si>
  <si>
    <t>10039-9272</t>
  </si>
  <si>
    <t>f19de1c4c7eb9bc</t>
  </si>
  <si>
    <t>X7 xDrive40i</t>
  </si>
  <si>
    <t>98b8e4e88383c27</t>
  </si>
  <si>
    <t>Natchitoches</t>
  </si>
  <si>
    <t>LA</t>
  </si>
  <si>
    <t>10039-9352-v2</t>
  </si>
  <si>
    <t>10039-9352</t>
  </si>
  <si>
    <t>eaab4b217964152</t>
  </si>
  <si>
    <t>i7 eDrive50</t>
  </si>
  <si>
    <t>1c8bb5d19658b53</t>
  </si>
  <si>
    <t>10039-9844-v2</t>
  </si>
  <si>
    <t>10039-9844</t>
  </si>
  <si>
    <t>243cee4fe39591d</t>
  </si>
  <si>
    <t>42285db4ec287dc</t>
  </si>
  <si>
    <t>SUV</t>
  </si>
  <si>
    <t>1042-2072-v3</t>
  </si>
  <si>
    <t>1042-2072</t>
  </si>
  <si>
    <t>Porsche Cars North America, Inc.</t>
  </si>
  <si>
    <t>a809a3fbe856453</t>
  </si>
  <si>
    <t>Porsche</t>
  </si>
  <si>
    <t>Cayenne E-hybrid</t>
  </si>
  <si>
    <t>572462203aa9640</t>
  </si>
  <si>
    <t>Sandy Springs</t>
  </si>
  <si>
    <t>GA</t>
  </si>
  <si>
    <t>Intersection</t>
  </si>
  <si>
    <t>Subject vehicle was traveling straight and another vehicle turned left into the path of the subject vehicle. The customer feels the automatic braking feature of the subject vehicle should have activated.</t>
  </si>
  <si>
    <t>1042-2343-v3</t>
  </si>
  <si>
    <t>1042-2343</t>
  </si>
  <si>
    <t>d04eb2cbab51798</t>
  </si>
  <si>
    <t>Taycan 4 Cross Turismo</t>
  </si>
  <si>
    <t>e5ba340558470c4</t>
  </si>
  <si>
    <t>UPDATE 3/[XXX]/2022: This report was submitted in error, the Level 0 ADAS which was active at the time of the crash does not meet the SGO reporting criteria threshold._x000D_
Subject vehicle was traveling at 40mph and another vehicle stopped in front of the subject vehicle in the path of the subject vehicle. Customer states that the subject vehicle did not stop as it should have._x000D_
Customer Complaint statement: "Customer states that he was traveling at 40mph and a truck stopped in front of him. The car did not react or brake and he had to swerve to the right to miss the truck and hit another object. Customer states that car did not stop the collision as it should have."""</t>
  </si>
  <si>
    <t>10561-1595-v2</t>
  </si>
  <si>
    <t>10561-1595</t>
  </si>
  <si>
    <t>APTIV</t>
  </si>
  <si>
    <t>b1622ef286d26bf</t>
  </si>
  <si>
    <t>Jeep</t>
  </si>
  <si>
    <t>Grand Cherokee</t>
  </si>
  <si>
    <t>d3825fdba7cadca</t>
  </si>
  <si>
    <t>Lincolnwood</t>
  </si>
  <si>
    <t>Pickup Truck</t>
  </si>
  <si>
    <t>10561-6934-v2</t>
  </si>
  <si>
    <t>10561-6934</t>
  </si>
  <si>
    <t>OTHER</t>
  </si>
  <si>
    <t>4791b69d175fe60</t>
  </si>
  <si>
    <t>Ford</t>
  </si>
  <si>
    <t>Mustang Mach-E</t>
  </si>
  <si>
    <t>772731488964289</t>
  </si>
  <si>
    <t>Las Vegas</t>
  </si>
  <si>
    <t>NV</t>
  </si>
  <si>
    <t>This is a follow up to the e-mail submitted on January 6, 2024, during the portal maintenance period, and to the supplemental disclosure submitted on January 8, 2024, through the portal. This report supplements and clarifies the previous submissions. _x000D_
The incident occurred about 09:50 PST on Jan [XXX], 2024 near the intersection of [XXX] and [XXX], Las Vegas, NV. There were no injuries reported to Aptiv as a result of the crash involving the subject vehicle._x000D_
The subject vehicle with Level 2 ADAS engaged was southbound on [XXX] approaching  [XXX].  The subject vehicle was traveling about 30 MPH in the right lane.  An e-scooter was southbound ahead of the subject vehicle in the right turn lane of [XXX] (in the roadway).  The e-scooter then drove into the pedestrian cross-walk from the designated right turning lane, crossed [XXX] and attempted to enter the north/south sidewalk from the roadway.  After entering the sidewalk, the rider of the e-scooter lost control and the rider and e-scooter re-entered the right lane of [XXX].  The rider fell into the road near the curb where he remained, but the e-scooter slid out from under the rider and continued to slide across the roadway until its front wheel reached the middle of the right lane.  The subject vehicle was not involved with nor did it contribute to the rider of the e-scooter losing control or with either the e-scooter or rider re-entering the roadway._x000D_
The subject vehicle driver was monitoring the e-scooter and had prepared to react when he noticed the e-scooter attempting to enter the sidewalk.  The subject vehicle driver manually applied the brakes when the e-scooter lost control and entered the roadway from the sidewalk.  The driver's application of the brakes automatically disengaged the Level 2 ADAS system.  The subject vehicle driver also moved left in lane, but was limited by an adjacent vehicle.  The subject vehicle made contact and damaged the front wheel of the e-scooter.  The subject vehicle did not contact the e-scooter rider or any other vehicles at any point.</t>
  </si>
  <si>
    <t>10561-7760-v2</t>
  </si>
  <si>
    <t>10561-7760</t>
  </si>
  <si>
    <t>Mach E</t>
  </si>
  <si>
    <t>Fatality</t>
  </si>
  <si>
    <t>For the 10 day update, Aptiv has no additional information. _x000D_
NHTSA recently opened a Preliminary Evaluation PE24-012 into incidents involving Fords BlueCruise system which was prompted by two Standing General Order (SGO) reports submitted by Ford.  Aptiv learned of the opening of PE24-012 through media coverage.  Aptiv does not have independent knowledge of the underlying incidents beyond the information contained in NHTSAs Opening Resume for PE24-012.  While Aptiv does not believe it has received notice as defined in the SGO, following a conversation with NHTSA on May 21, 2024, it is supplying this report for purposes of transparency and consistent with the spirit of the SGO.  _x000D_
 _x000D_
This report relates to the same incidents as those addressed by the following Report IDs:  33175-7402, 502-7268, and 502-7426.</t>
  </si>
  <si>
    <t>10561-8671-v2</t>
  </si>
  <si>
    <t>10561-8671</t>
  </si>
  <si>
    <t>8058870a8eb2b52</t>
  </si>
  <si>
    <t>Dodge</t>
  </si>
  <si>
    <t>Charger BEV</t>
  </si>
  <si>
    <t>80ff8512cc95537</t>
  </si>
  <si>
    <t>Baltimore</t>
  </si>
  <si>
    <t>Updates have been made since the 1-day submission based on additional information. _x000D_
The subject vehicle is a preproduction Stellantis-owned development vehicle. The vehicle was in operation for the purpose of ADAS development. Vehicle communication bus data, ADAS system data, and video prior to the collision are available from the subject vehicle. _x000D_
The subject vehicle was northbound on [XXX]approaching [XXX], intending to turn left on [XXX]. Adaptive Cruise Control (ACC) was engaged. Based on the recorded data, the subject driver applied the brakes when approaching the intersection, which disengaged the ACC prior to turning left. The other vehicle (southbound on [XXX]) collided with the subject vehicle when the subject vehicle turned left through the intersection. Subject vehicle's ADAS was disengaged and did not contribute to the collision._x000D_
After the collision, airbags deployed in both vehicles. The two occupants of the subject vehicle and the driver of the other vehicle were evaluated at the scene by EMS. No one was transported to the hospital from the scene. Both vehicles were towed away. Later, both occupants of the subject vehicle underwent precautionary evaluation at a medical clinic and were released.</t>
  </si>
  <si>
    <t>12381-10172-v2</t>
  </si>
  <si>
    <t>12381-10172</t>
  </si>
  <si>
    <t>Daimler Trucks North America, LLC</t>
  </si>
  <si>
    <t>e571cc17e954dab</t>
  </si>
  <si>
    <t>CASCADIA</t>
  </si>
  <si>
    <t>6d9d41b6654512a</t>
  </si>
  <si>
    <t>Sidney</t>
  </si>
  <si>
    <t>OH</t>
  </si>
  <si>
    <t>On March [XXX], 2025, Daimler Truck North America (DTNA) was notified of an incident involving a 2025 Freightliner Cascadia traveling on Eastbound [XXX] near Sidney, Ohio. [REDACTED, MAY CONTAIN CONFIDENTIAL BUSINESS INFORMATION]. DTNA's current, best information is that the driver fell asleep with hands on the wheel. The vehicle departed the lane to the right and then, after the driver's attempt to correct the direction of travel, overturned and came to rest on the passenger side of the vehicle on the road. On April 8, 2025, DTNA is updating its report to indicate the presence of a police report since initial submission.</t>
  </si>
  <si>
    <t>12381-11624-v2</t>
  </si>
  <si>
    <t>12381-11624</t>
  </si>
  <si>
    <t>d1e6193160f6c22</t>
  </si>
  <si>
    <t>Cascadia</t>
  </si>
  <si>
    <t>9001d09cb13401d</t>
  </si>
  <si>
    <t>Cheyenne</t>
  </si>
  <si>
    <t>WY</t>
  </si>
  <si>
    <t>On September 4, 2025, Daimler Truck North America (DTNA) was notified of an incident that occurred September [XXX], 2025 involving a 2025 Freightliner Cascadia traveling on Southbound [XXX] near [XXX] in Cheyenne, Wyoming involving a single vehicle event with property damage. [REDACTED, MAY CONTAIN CONFIDENTIAL BUSINESS INFORMATION]</t>
  </si>
  <si>
    <t>12381-13784-v2</t>
  </si>
  <si>
    <t>12381-13784</t>
  </si>
  <si>
    <t>76d9b16ce63a694</t>
  </si>
  <si>
    <t>111c814a88bb5a7</t>
  </si>
  <si>
    <t>Government Camp</t>
  </si>
  <si>
    <t>OR</t>
  </si>
  <si>
    <t>On October [XXX], 2025, a single-vehicle accident occurred involving a 2025 Freightliner Cascadia traveling on [XXX] East near Government Camp, Oregon. [REDACTED, MAY CONTAIN CONFIDENTIAL BUSINESS INFORMATION] The vehicle impacted a guardrail then various trees before coming to rest against a downed tree. The driver was transported to hospital, discharged without hospitalization, and recovered at home. The vehicle was towed from the scene._x000D_
_x000D_
On February 02, 2026, DTNA is updating its report to reflect that the incident data available was from a direct-vehicle connection, not via a telematics connection.</t>
  </si>
  <si>
    <t>12381-14900-v2</t>
  </si>
  <si>
    <t>12381-14900</t>
  </si>
  <si>
    <t>2c2ad9048e33393</t>
  </si>
  <si>
    <t>CASCADIA FIFTH GEN</t>
  </si>
  <si>
    <t>d7f830634927755</t>
  </si>
  <si>
    <t>Mountain Home</t>
  </si>
  <si>
    <t>On May [XXX], 2026, at approximately 3 a.m., a 2024 Freightliner Cascadia Fifth Gen was traveling on Interstate [XXX] Eastbound approaching exit [XXX] and impacted the underside of an overturned trailer laying perpendicular to the direction of travel (Crash With/Pre-Crash Movement "Other</t>
  </si>
  <si>
    <t>12381-3438-v2</t>
  </si>
  <si>
    <t>12381-3438</t>
  </si>
  <si>
    <t>333b3dc2fdd5341</t>
  </si>
  <si>
    <t>3e2bdafd3d96829</t>
  </si>
  <si>
    <t>ALBUQUERQUE</t>
  </si>
  <si>
    <t>NM</t>
  </si>
  <si>
    <t>The vehicle was traveling with ADS engaged eastbound on [XXX] in the second lane from the left near [XXX]. [REDACTED, MAY CONTAIN CONFIDENTIAL BUSINESS INFORMATION] After the driver disengaged ADS, the truck's passenger side steer tire rolled over the object and the object punctured the passenger side fuel tank. Fuel began to leak from the tank and the driver pulled onto the shoulder and stopped to assess the situation. The NM State Police arrived on the scene and the truck was towed to a secure location. The NM DOT performed the initial cleanup of the fuel at the scene and a vendor was secured by the operator to complete the cleanup process. Damage to the fuel tank was the only damage resulting from the incident. The features of the ADS that were engaged just prior to the incident were: Adaptive Cruise Control, Lane Keep, Lane change and Ending Lanes. Data Availability, Other: ADS related data</t>
  </si>
  <si>
    <t>12381-3536-v2</t>
  </si>
  <si>
    <t>12381-3536</t>
  </si>
  <si>
    <t>b1a11ddd49cb4a4</t>
  </si>
  <si>
    <t>Freightliner</t>
  </si>
  <si>
    <t>00cd6c799062fc0</t>
  </si>
  <si>
    <t>Keokuk</t>
  </si>
  <si>
    <t>IA</t>
  </si>
  <si>
    <t>On August [XXX], 2022, Daimler Truck was notified of an alleged fire on the rear of the trailer in a 2022 Freightliner Cascadia, that occurred after the vehicle was leaving a repair facility.  The incident was alleged to happen somewhere on the [XXX] in Keokuk, Iowa.  The vehicle has a Detroit Assurance 5.0 system and would have had to have been towed from the incident, so even though we have no allegation that implicates the ADAS system, we are reporting this out of an abundance of caution.</t>
  </si>
  <si>
    <t>12381-3557-v1</t>
  </si>
  <si>
    <t>12381-3557</t>
  </si>
  <si>
    <t>5310696cce8fa26</t>
  </si>
  <si>
    <t>66ee1d58acd3680</t>
  </si>
  <si>
    <t>Santa Rosa</t>
  </si>
  <si>
    <t>The vehicle was traveling with ADS engaged westbound on [XXX] in the right lane near [XXX]. [REDACTED, MAY CONTAIN CONFIDENTIAL BUSINESS INFORMATION] After the driver disengaged the ADS, the truck straddled the object, with its tires passing to each side. The object made contact with cap of the transmission air tank and pulled the cap off. The air in the tank was released and the driver pulled onto the shoulder and stopped to assess the situation. A vendor replaced the cap and the truck returned to the home terminal as planned. The cap to the air tank was the only damage resulting from the incident. No other vehicles were involved. The features of the ADS that were engaged just prior to the incident were: Adaptive Cruise Control, Lane Keep, Lane change and Ending Lanes. For details and data, see Torc Robotics report submission number 30330-3561-1. Data Availability, Other: ADS related.</t>
  </si>
  <si>
    <t>12381-4095-v2</t>
  </si>
  <si>
    <t>12381-4095</t>
  </si>
  <si>
    <t>3212ca89f2300c1</t>
  </si>
  <si>
    <t>f115f56ccbe3776</t>
  </si>
  <si>
    <t>IN</t>
  </si>
  <si>
    <t>On October [XXX], 2022, Daimler Truck was notified of an incident involving a 2022 Freightliner Cascadia traveling [XXX]. [REDACTED, MAY CONTAIN CONFIDENTIAL BUSINESS INFORMATION]. The subject vehicle did not collide with any other road users or vehicles. Final resting place of the vehicle occurred when the subject vehicle traveled through some trees and impacted a building. There were no occupants in the building that the subject vehicle struck. DTNA is providing this information in good faith and in an abundance of caution.</t>
  </si>
  <si>
    <t>12381-4852-v4</t>
  </si>
  <si>
    <t>12381-4852</t>
  </si>
  <si>
    <t>c28a8e80da47730</t>
  </si>
  <si>
    <t>e6bea3e50eaf542</t>
  </si>
  <si>
    <t>Lexington</t>
  </si>
  <si>
    <t>SC</t>
  </si>
  <si>
    <t>On February [XXX], 2023, Daimler Truck was notified of an incident involving a 2022 Freightliner Cascadia traveling on [XXX] near [XXX]. [REDACTED, MAY CONTAIN CONFIDENTIAL BUSINESS INFORMATION] The subject vehicle collided with another heavy vehicle then subsequently the median cable barrier. Final resting place was the grass median dividing east and westbound lanes. DTNA is providing this information in good faith and in an abundance of caution.</t>
  </si>
  <si>
    <t>12381-6889-v1</t>
  </si>
  <si>
    <t>12381-6889</t>
  </si>
  <si>
    <t>00141332d0a512b</t>
  </si>
  <si>
    <t>df4cd7fa084bc3e</t>
  </si>
  <si>
    <t>Vega</t>
  </si>
  <si>
    <t>Animal</t>
  </si>
  <si>
    <t>Torc Robotics and Daimler Truck North America ("DTNA"") are submitting duplicate incident reports (refer to Torc report ID: 30330-6882-1) regarding a deer strike involving a Torc-operated vehicle that occurred in Texas on December [XXX]</t>
  </si>
  <si>
    <t>12381-8659-v2</t>
  </si>
  <si>
    <t>12381-8659</t>
  </si>
  <si>
    <t>7ad698f3810f91b</t>
  </si>
  <si>
    <t>369f8f9bc2fa8f9</t>
  </si>
  <si>
    <t>Louisville</t>
  </si>
  <si>
    <t>KY</t>
  </si>
  <si>
    <t>On May 30, 2024, DTNA received notice of representation regarding an incident with injury that occurred September [XXX], 2023, involving a MY2023 Freightliner Cascadia. Although the subject vehicle was equipped with Level 2 ADAS, at that time, DTNA had no indication of ADAS engagement prior to the incident in the notice of representation. Additionally, although DTNA attempted, at that time, to pull telematics data on the subject unit, there was no data found. Accordingly, DTNA had no notice of a Standing General Order- or SGO-reportable event, as defined in the Second Amended Standing General Order 2021-01. [REDACTED, MAY CONTAIN CONFIDENTIAL BUSINESS INFORMATION]_x000D_
Regarding the incident details, the claimant alleged that the subject vehicle was traveling westbound on [XXX] with ADAS systems engaged. The subject vehicle allegedly experienced a brake pull event causing the vehicle to swerve into a parked semi on the right shoulder.</t>
  </si>
  <si>
    <t>1243-10019-v2</t>
  </si>
  <si>
    <t>1243-10019</t>
  </si>
  <si>
    <t>Subaru of America, Inc.</t>
  </si>
  <si>
    <t>b53a7979ded2ac2</t>
  </si>
  <si>
    <t>Subaru</t>
  </si>
  <si>
    <t>Forester</t>
  </si>
  <si>
    <t>7304edfcca512b9</t>
  </si>
  <si>
    <t>Weed</t>
  </si>
  <si>
    <t>Based on the customer's statement, the subject vehicle was travelling at a speed of 50-60 MPH on [XXX] southbound near [XXX] at 12:30 PM (PST) with Adaptive Cruise Control (ACC) and Lane Centering (LCF) engaged. The driver was following a box truck driven by her fiancee. The customer further stated that the vehicle was traveling through a section of highway where a cement divider was close to the lane of travel and that the "wheel jerked"". The vehicle struck the divider with the left rear wheel and the vehicle then crossed to the right side of the highway and struck a wall. The customer was unable to state in which direction the wheel had jerked. The customer stated that the vehicle was beeping but the driver was not looking at the dashboard when the incident was occurring. There were no airbags deployed</t>
  </si>
  <si>
    <t>1243-10331-v3</t>
  </si>
  <si>
    <t>1243-10331</t>
  </si>
  <si>
    <t>b2cfb46f4073792</t>
  </si>
  <si>
    <t>Ascent</t>
  </si>
  <si>
    <t>fe761d5cc9ce585</t>
  </si>
  <si>
    <t>Township of Hartland</t>
  </si>
  <si>
    <t>According to the customer's statement, the subject vehicle was traveling in a southbound direction of [XXX] in Norwalk, OH with the Adaptive Cruise Control (ACC) and Lane Centering (LCF) engaged. The ACC was set to 60 MPH. The customer further stated that he heard an audible warning "ding""</t>
  </si>
  <si>
    <t>1243-1042-v4</t>
  </si>
  <si>
    <t>1243-1042</t>
  </si>
  <si>
    <t>6719baa2bf93315</t>
  </si>
  <si>
    <t>Outback</t>
  </si>
  <si>
    <t>1cc7b603c8e30f5</t>
  </si>
  <si>
    <t>Weston</t>
  </si>
  <si>
    <t>WV</t>
  </si>
  <si>
    <t>1243-10769-v2</t>
  </si>
  <si>
    <t>1243-10769</t>
  </si>
  <si>
    <t>0cc8a9469ac4ca4</t>
  </si>
  <si>
    <t>7f1e59998a53094</t>
  </si>
  <si>
    <t>Princess Anne</t>
  </si>
  <si>
    <t>According to the customer's statement, the subject vehicle was travelling on [XXX] in Queen Anne, MD with Adaptive Cruise Control (ACC) and Lane Centering (LCF) engaged. The vehicle left the roadway and impacted a tree head-on. The customer indicated that she was wearing a seatbelt and that she was transported to the hospital with moderate injuries. Photographs provided by a 3rd party auction site indicated that no airbags deployed. Damage to the vehicle was not consistent with a head-on collision with a tree or the level of injury allegedly sustained by the customer. The customer indicated that the vehicle was not towed, however, it is unknown as the customer was the only person involved and was reportedly transported to the hospital._x000D_
[REDACTED, MAY CONTAIN CONFIDENTIAL BUSINESS INFORMATION] The customer's allegation included AEB not engaging and airbag non-deployment. There was no allegation involving the operation of ACC or LCF._x000D_
The vehicle owner's manual states that Adaptive Cruise Control and the Lane Centering Functions are designed for use on expressways, freeways, toll roads, interstate highways and similar limited access roads. Subaru was not able to inspect or retrieve any data from the subject vehicle. It was sold through salvage auction on 4/22/2025, prior to the customer providing notice.</t>
  </si>
  <si>
    <t>1243-10832-v2</t>
  </si>
  <si>
    <t>1243-10832</t>
  </si>
  <si>
    <t>d20ba5531c0fef3</t>
  </si>
  <si>
    <t>988de915957a266</t>
  </si>
  <si>
    <t>Dillon</t>
  </si>
  <si>
    <t>MT</t>
  </si>
  <si>
    <t>1243-10840-v2</t>
  </si>
  <si>
    <t>1243-10840</t>
  </si>
  <si>
    <t>45f3abd35c490a8</t>
  </si>
  <si>
    <t>Crosstrek</t>
  </si>
  <si>
    <t>Unknown - see Narrative</t>
  </si>
  <si>
    <t>527ef4dc8c4aa8b</t>
  </si>
  <si>
    <t>Lathrop</t>
  </si>
  <si>
    <t>According to the customer's statement, the customer's son was operating the subject vehicle. The vehicle was traveling on the [XXX] near Tracy, CA at approx. 10 PM PST at a speed of 73 MPH with Adaptive Cruise Control (ACC) and Lane Centering (LCF) engaged. The customer indicated that the AEB and Automatic Emergency Steering (AES) engaged, and the driver lost control of the vehicle, though no other vehicle or object was involved. The incident involved a rollover. All of the airbags were reported to have deployed, and the vehicle was towed from the scene. There were no injuries reported. Telematics data indicated [REDACTED, MAY CONTAIN CONFIDENTIAL BUSINESS INFORMATION]._x000D_
Subaru inspected the subject vehicle on 6/04/2025. [REDACTED, MAY CONTAIN CONFIDENTIAL BUSINESS INFORMATION]_x000D_
Based on the inspection and data acquired, Subaru determined that there was no activity related to AEB or AES. Additionally, Subaru determined there were no abnormalities with the ACC or LCF systems. LCF was cancelled due to loss of lane recognition and the driver was provided with an additional lane departure warning. However, the driver provided no steering input in order to maintain the lane of travel.</t>
  </si>
  <si>
    <t>1243-10981-v2</t>
  </si>
  <si>
    <t>1243-10981</t>
  </si>
  <si>
    <t>c78811ae5148083</t>
  </si>
  <si>
    <t>Verified Not Engaged</t>
  </si>
  <si>
    <t>b08fc13816ae0bd</t>
  </si>
  <si>
    <t>Millcreek</t>
  </si>
  <si>
    <t>UT</t>
  </si>
  <si>
    <t>The subject vehicle was traveling on [XXX] NB in Millcreek, UT. According to the customer's statement, the vehicle was traveling at 65 MPH with Adaptive Cruise Control (ACC) and Lane Centering (LCF) engaged. The driver alleged that the vehicle's brakes were not operating and that after a mile, she had to crash into the highway median. The frontal and side airbags deployed, and the vehicle was towed from the scene._x000D_
Subaru inspected the subject vehicle on 6/24/2025. The vehicle sustained extensive damage to the front right side. The front right wheel, tire, axle housing, brake caliper, brake rotor, axle shaft, and strut were missing. Additionally, the front right brake hose and ABS wiring harness were severed. The front right side of the radiator support was pushed rearward, resulting in contact with the front timing cover. The impact caused the timing cover to fracture, exposing the camshaft sprockets. As a result of this damage, the engine could not be started._x000D_
[REDACTED, MAY CONTAIN CONFIDENTIAL BUSINESS INFORMATION]_x000D_
Based on the vehicle inspection and the data acquired, Subaru determined that there was no abnormality with the vehicle braking system and that ADAS was not engaged within 30 seconds of the incident. The customer had manually cancelled ACC approximately 1 mile before the incident and had then likely mistakenly depressed the accelerator pedal rather than the brake pedal. The stability control system successfully reduced the vehicle's speed from 67.7 MPH to 37.9 MPH prior to impact by modulating engine power and activating ABS.</t>
  </si>
  <si>
    <t>1243-11191-v2</t>
  </si>
  <si>
    <t>1243-11191</t>
  </si>
  <si>
    <t>eca9a5d988cc2e6</t>
  </si>
  <si>
    <t>0620973f89f74fb</t>
  </si>
  <si>
    <t>Seymour</t>
  </si>
  <si>
    <t>According to the customer's statement, the subject vehicle was traveling northbound on [XXX] at a speed of 70 MPH with Adaptive Cruise Control (ACC) and Lane Centering (LCF) engaged. The roadway conditions were wet. Though not stated, Subaru assumes that the flow of traffic ahead was either slowing or stopped. The customer stated that she depressed the brake pedal, but the vehicle speed was not slowing. AEB activated but the subject vehicle struck the vehicle in the lane of travel in front. The driver's frontal and knee airbags deployed and the vehicle was towed from the scene. There were no injuries reported._x000D_
Subaru inspected the subject vehicle on 7/17/2025. The vehicle sustained underride collision damage on the frontal plane. The left side of the front bumper beam was pushed upwards, and the battery was wedged into the M/B Fuse box and ECM connector. The stability control module was also damaged in the collision. [REDACTED, MAY CONTAIN CONFIDENTIAL BUSINESS INFORMATION]_x000D_
Based on the vehicle inspection and the data acquired, Subaru determined that there were no abnormalities with the braking or ACC systems. The vehicle was being operated with ACC and LCF engaged and the driver failed to take appropriate action when approaching a slowing vehicle in front. [REDACTED, MAY CONTAIN CONFIDENTIAL BUSINESS INFORMATION] However, as stated in the owner's manual, if the speed difference with the identified object is greater than approximately 37 MPH (60km/h), collisions cannot be avoided due to performance limitations of EyeSight.</t>
  </si>
  <si>
    <t>1243-11292-v2</t>
  </si>
  <si>
    <t>1243-11292</t>
  </si>
  <si>
    <t>538051dc55bcba3</t>
  </si>
  <si>
    <t>2734e8462c79cbd</t>
  </si>
  <si>
    <t>Sapulpa</t>
  </si>
  <si>
    <t>OK</t>
  </si>
  <si>
    <t>According to the customer's statement, the subject vehicle was travelling eastbound on [XXX] with Adaptive Cruise Control (ACC) and Lane Centering (LCF) engaged. The customer further stated that the vehicle was changing lanes to the right in anticipation of exiting the highway at the second of two exits when the steering wheel locked. The vehicle struck an unknown object presumed to have been in the soft shoulder to the right of the roadway ([XXX] and road sign pylons with a concrete footing were noted in the immediate vicinity). Photographs provided by the customer showed damage to the front of the vehicle, with significant damage to the right front bumper, fender and hood. The right front tire was flat. All of the airbags were reported to have deployed and there were no injuries reported. The vehicle was towed from the scene._x000D_
Subaru inspected the subject vehicle on 7/22/2025. [REDACTED, MAY CONTAIN CONFIDENTIAL BUSINESS INFORMATION]_x000D_
Based on the vehicle inspection and the data acquired, Subaru determined there were no abnormalities with the ACC, LCF or electronic power steering systems. [REDACTED, MAY CONTAIN CONFIDENTIAL BUSINESS INFORMATION]</t>
  </si>
  <si>
    <t>1243-11470-v2</t>
  </si>
  <si>
    <t>1243-11470</t>
  </si>
  <si>
    <t>dbe61ad42c68c56</t>
  </si>
  <si>
    <t>Alleged Engaged</t>
  </si>
  <si>
    <t>c0f75be10837269</t>
  </si>
  <si>
    <t>Falmouth</t>
  </si>
  <si>
    <t>ME</t>
  </si>
  <si>
    <t>According to the customer's statement, the subject vehicle was traveling on [XXX] SB between Falmouth and Portland, Maine at 65 MPH on Friday, July [XXX] at 1:30 PM with Adaptive Cruise Control (ACC) and Lane Centering (LCF) engaged. As the vehicle approached a curve in the roadway, the customer heard an audible warning (beep), the steering became tight, and then, the customer felt the vehicle pull hard to the right. The vehicle exited the roadway into a ditch and struck the side of a hill. All of the airbags were reported to have deployed, and the vehicle was towed from the scene. The driver and passenger were reportedly transported to the hospital. The passenger was reported to have a broken foot. The customer indicated that the passenger had been sitting with their feet on the dashboard at the time of the incident. The customer further indicated that braking was applied before the vehicle struck the hill._x000D_
Subaru was not provided with the opportunity to inspect the subject vehicle. Review of the location of the incident indicated that the maximum posted speed limit was 70 MPH with a minimum posted speed of 45 MPH, and the roadway was slight curving to the left._x000D_
[REDACTED, MAY CONTAIN CONFIDENTIAL BUSINESS INFORMATION]_x000D_
Based on the information available, Subaru determined the vehicle was traveling with ACC engaged [REDACTED, MAY CONTAIN CONFIDENTIAL BUSINESS INFORMATION]. It is likely that LCF had been engaged but cancelled, providing the driver with an alert. The customer failed to appropriately retake control of the vehicle[REDACTED, MAY CONTAIN CONFIDENTIAL BUSINESS INFORMATION].</t>
  </si>
  <si>
    <t>1243-11628-v2</t>
  </si>
  <si>
    <t>1243-11628</t>
  </si>
  <si>
    <t>7e9857f2eede81e</t>
  </si>
  <si>
    <t>0cffa6c59a95c35</t>
  </si>
  <si>
    <t>Richmond</t>
  </si>
  <si>
    <t>According to the customer's statement, the subject vehicle was in the process of making a left turn at an intersection when the Adaptive Cruise Control (ACC) and Lane Centering (LCF) both engaged without input from the driver. Upon engagement, the vehicle speed increased, and the steering wheel could not be turned leftward and the vehicle proceeded straight. An Illinois Traffic Crash Report stated that while attempting to make a left-hand turn, the driver continued to press the accelerator pedal and ran off the roadway onto private property. The vehicle struck 8-10 concrete landscaping bricks that were around a tree, causing disabling damage to the vehicle. There was no airbag deployment, and the vehicle was towed from the scene. The driver was transported to the hospital for observation for high blood pressure. The customer indicated that the ACC had not been in use that day._x000D_
_x000D_
Subaru inspected the subject vehicle on 10/07/2025. The vehicle was under repair and the front bumper cover, left headlight, left fender, and driver's door were removed. Three tires and the electric power steering (EPS) gearbox were replaced. In the interior, a genuine all season floor mat was secured to the retaining pins on the driver's floorboard. There were no abnormalities with the brake or accelerator pedal. SSM data indicated there were no DTCs before the collision and multiple DTCs were detected due to the crash and disassembly during repairs._x000D_
_x000D_
[REDACTED, MAY CONTAIN CONFIDENTIAL BUSINESS INFORMATION]_x000D_
_x000D_
Based on the vehicle inspection and the data acquired, Subaru determined that the ACC and LCF had not been engaged on the day of the incident and there were no abnormalities with the vehicle's steering, accelerator or brakes. The data, further supported by the crash report, indicated the event experienced by the customer was likely due to operational error by the driver.</t>
  </si>
  <si>
    <t>1243-11793-v2</t>
  </si>
  <si>
    <t>1243-11793</t>
  </si>
  <si>
    <t>f79aa891933d4fd</t>
  </si>
  <si>
    <t>63538d947f1342f</t>
  </si>
  <si>
    <t>Suffolk</t>
  </si>
  <si>
    <t>According to the customer's statement, the subject vehicle was traveling at 50 MPH westbound on [XXX] at 8:30 AM EST with Adaptive Cruise Control (ACC) and Lane Centering (LCF) engaged in a construction zone. The subject vehicle was following a traffic control vehicle with an elongated bumper to mitigate traffic collisions. The traffic control vehicle was slowing and would eventually come to a stop in order to move traffic into an adjacent lane of travel. The customer indicated that she was looking away from the roadway in order to retrieve an inhaler. As the driver looked up, the AEB system was issuing a warning. However, the driver was unable to avoid the collision with the stopped vehicle. The subject vehicle frontal, side and curtain airbags deployed and the vehicle was towed from the scene. The customer later visited an ER for pain and minor bruising._x000D_
_x000D_
Subaru inspected the subject vehicle on 10/09/2025. Damage to the vehicle indicated the collision was an offset frontal impact to the front left, extending to the forward edge of the front left door. [REDACTED, MAY CONTAIN CONFIDENTIAL BUSINESS INFORMATION]_x000D_
_x000D_
Based on the vehicle inspection and the data acquired, Subaru determined there were no abnormalities with the ACC, LCF or AEB systems. The subject vehicle was traveling [REDACTED, MAY CONTAIN CONFIDENTIAL BUSINESS INFORMATION] in an area of road construction when a construction vehicle in front pulled to a stop. Per the owner's manual, if the speed difference with an identified object is greater than approximately 37 MPH (60 km/h), collisions cannot be avoided. Additionally, as also published in the owner's manual, Subaru does not recommend operating the vehicle with ACC or LCF engaged on roads with lane restrictions or tentative lanes due to construction work, etc.</t>
  </si>
  <si>
    <t>1243-12006-v2</t>
  </si>
  <si>
    <t>1243-12006</t>
  </si>
  <si>
    <t>42422a9eae068b0</t>
  </si>
  <si>
    <t>bae354f585c8696</t>
  </si>
  <si>
    <t>Deary</t>
  </si>
  <si>
    <t>ID</t>
  </si>
  <si>
    <t>According to the customer's statement, the subject vehicle was traveling southeast on [XXX] at approximately 7:30PM (PST) with Adaptive Cruise Control (ACC) and Lane Centering (LCF) engaged. The customer alleged that as the vehicle approached an intersection in order to make a left-hand turn, the driver applied the brake pedal but ACC did not disengage, and the vehicle did not come to a stop. The vehicle proceeded through the intersection and departed the roadway into a "bank"". All of the airbags were reported to have deployed</t>
  </si>
  <si>
    <t>1243-12058-v2</t>
  </si>
  <si>
    <t>1243-12058</t>
  </si>
  <si>
    <t>db4909d3151b063</t>
  </si>
  <si>
    <t>e1c5fb10a692a65</t>
  </si>
  <si>
    <t>Rochester</t>
  </si>
  <si>
    <t>According to the customer's statement, the vehicle was travelling northbound on [XXX] at 40 MPH with Adaptive Cruise Control (ACC) and Lane Centering (LCF) engaged. Another vehicle, intending to execute a left turn, entered the roadway from a side street and the subject vehicle struck the other vehicle in the left front door area. The subject vehicle was towed from the scene. The customer stated that the subject vehicle's AEB had engaged and did not allege a defect with the ADAS system but inquired about the airbag system performance during the crash. The customer's description of the accident aligned with the [XXX]. The report further stated that the customer had been evaluated on scene and transported to the hospital due to concern over high blood pressure._x000D_
Subaru inspected the subject vehicle on 11/11/2025. [REDACTED, MAY CONTAIN CONFIDENTIAL BUSINESS INFORMATION]_x000D_
_x000D_
Based on the vehicle inspection and the data acquired, Subaru determined there were no abnormalities with the airbag, ACC or LCF systems.</t>
  </si>
  <si>
    <t>1243-1208-v3</t>
  </si>
  <si>
    <t>1243-1208</t>
  </si>
  <si>
    <t>bc4ad9b7b151e45</t>
  </si>
  <si>
    <t>20dec0e229a6059</t>
  </si>
  <si>
    <t>1243-1246-v3</t>
  </si>
  <si>
    <t>1243-1246</t>
  </si>
  <si>
    <t>2301733b0fd9e3f</t>
  </si>
  <si>
    <t>e537827d2d65439</t>
  </si>
  <si>
    <t>Missouri Valley</t>
  </si>
  <si>
    <t>1243-13262-v1</t>
  </si>
  <si>
    <t>1243-13262</t>
  </si>
  <si>
    <t>0d214573bb2d0e7</t>
  </si>
  <si>
    <t>1abb7dc46e10e6c</t>
  </si>
  <si>
    <t>Nipton</t>
  </si>
  <si>
    <t>1243-13355-v1</t>
  </si>
  <si>
    <t>1243-13355</t>
  </si>
  <si>
    <t>d288bdb855aa3a5</t>
  </si>
  <si>
    <t>84d77c9c7524473</t>
  </si>
  <si>
    <t>Green Valley</t>
  </si>
  <si>
    <t>1243-1379-v5</t>
  </si>
  <si>
    <t>1243-1379</t>
  </si>
  <si>
    <t>2d8be67244886ea</t>
  </si>
  <si>
    <t>47c8f9f110f99a7</t>
  </si>
  <si>
    <t>Westmoreland</t>
  </si>
  <si>
    <t>1243-1392-v4</t>
  </si>
  <si>
    <t>1243-1392</t>
  </si>
  <si>
    <t>3a36a7733d2dd83</t>
  </si>
  <si>
    <t>c23000d2e8b4e40</t>
  </si>
  <si>
    <t>Riverside</t>
  </si>
  <si>
    <t>1243-14138-v2</t>
  </si>
  <si>
    <t>1243-14138</t>
  </si>
  <si>
    <t>18006c5a3b10436</t>
  </si>
  <si>
    <t>16ded2b196bf3e0</t>
  </si>
  <si>
    <t>Saint Petersburg</t>
  </si>
  <si>
    <t>According to the customer's statement, the subject vehicle was being driven by her son at the time of the incident. The vehicle was travelling in the left lane of the [REDACTED, MAY CONTAIN CONFIDENTIAL BUSINESS INFORMATION], and the customer alleged Adaptive Cruise Control (ACC) and Lane Centering (LCF) engaged. However, during a follow-up discussion the customer indicated that she did not know many of the facts involved in this incident. According to available news sources, the vehicle veered into oncoming traffic and struck a sedan head-on. The driver and passenger of the sedan were seriously injured and the passenger was later pronounced dead at a hospital. News sources further indicated that the driver of the subject vehicle was arrested on a number of charges, including felony DUI (third offense), after being treated for injury. These sources also stated that the subject driver's first DUI arrest occurred [REDACTED, MAY CONTAIN CONFIDENTIAL BUSINESS INFORMATION], when he was stopped by police officers for swerving on the road, according to his arrest form. The subject driver was again arrested in [REDACTED, MAY CONTAIN CONFIDENTIAL BUSINESS INFORMATION], after police stopped him for drifting across lanes and nearly striking another vehicle. The arrest record indicated the driver showed "multiple signs of impairment"" and he stated to police he ""smoked weed earlier that night."" The customer was inquiring as to why the Lane Departure Prevention had not pulled the vehicle back into the correct lane of travel</t>
  </si>
  <si>
    <t>1243-14245-v1</t>
  </si>
  <si>
    <t>1243-14245</t>
  </si>
  <si>
    <t>7457820c032f5fc</t>
  </si>
  <si>
    <t>a102af9eb6ae8d5</t>
  </si>
  <si>
    <t>Spring</t>
  </si>
  <si>
    <t>1243-1528-v3</t>
  </si>
  <si>
    <t>1243-1528</t>
  </si>
  <si>
    <t>972a06e9bb25d6a</t>
  </si>
  <si>
    <t>c956f70c7f82c2f</t>
  </si>
  <si>
    <t>Maplewood</t>
  </si>
  <si>
    <t>MO</t>
  </si>
  <si>
    <t>1243-15288-v1</t>
  </si>
  <si>
    <t>1243-15288</t>
  </si>
  <si>
    <t>907b894c194665d</t>
  </si>
  <si>
    <t>67cefb1d06ab45e</t>
  </si>
  <si>
    <t>Winfield</t>
  </si>
  <si>
    <t>KS</t>
  </si>
  <si>
    <t>1243-1582-v5</t>
  </si>
  <si>
    <t>1243-1582</t>
  </si>
  <si>
    <t>531df7c2eb50fe4</t>
  </si>
  <si>
    <t>7796765cf6c9f3f</t>
  </si>
  <si>
    <t>Dog Town</t>
  </si>
  <si>
    <t>1243-1945-v3</t>
  </si>
  <si>
    <t>1243-1945</t>
  </si>
  <si>
    <t>096beaf83079872</t>
  </si>
  <si>
    <t>931074479192043</t>
  </si>
  <si>
    <t>Greenwood</t>
  </si>
  <si>
    <t>MS</t>
  </si>
  <si>
    <t>1243-1955-v3</t>
  </si>
  <si>
    <t>1243-1955</t>
  </si>
  <si>
    <t>fa5ddda468b3301</t>
  </si>
  <si>
    <t>df0e18d70ba7e9e</t>
  </si>
  <si>
    <t>Russell Springs</t>
  </si>
  <si>
    <t>1243-3278-v3</t>
  </si>
  <si>
    <t>1243-3278</t>
  </si>
  <si>
    <t>975de11a0170386</t>
  </si>
  <si>
    <t>ffaee496513b6b3</t>
  </si>
  <si>
    <t>Warrenville Heights</t>
  </si>
  <si>
    <t>The customer was not alleging any defect with the vehicle.  According to the customer, the subject vehicle was proceeding westbound on [XXX] in Warrenville Heights, Ohio at 65 MPH when it was struck in the right-rear by another vehicle. During the standard accident questionnaire, the customer indicated that Adaptive Cruise Control and Lane Centering Function were both engaged at the time of collision._x000D_
The customer is not alleging any vehicle or system defect, and the purpose of the initial call was to compliment the vehicle performance in the incident and inquire about body shop post-repair information._x000D_
According to the Traffic Crash Report, the subject vehicle was traveling in the left-center lane when it was struck in the rear by a second vehicle. The second vehicle was traveling in the far left lane. The driver of the second vehicle stated that he lost control of the vehicle due to hydroplaning and struck the subject vehicle.</t>
  </si>
  <si>
    <t>1243-3577-v3</t>
  </si>
  <si>
    <t>1243-3577</t>
  </si>
  <si>
    <t>316cacd9e5436cf</t>
  </si>
  <si>
    <t>ab964227042fecf</t>
  </si>
  <si>
    <t>1243-3681-v4</t>
  </si>
  <si>
    <t>1243-3681</t>
  </si>
  <si>
    <t>eeba4facc678a69</t>
  </si>
  <si>
    <t>68b9212338077cd</t>
  </si>
  <si>
    <t>Mamaroneck</t>
  </si>
  <si>
    <t>During the initial telephone conversation, the driver's mother stated that her daughter was driving the subject vehicle on [XXX] North with lane assist engaged at the time of the incident. She claimed that the Eyesight system malfunctioned and caused the vehicle's wheel/tire to contact the curb/divider. During a subsequent telephone conversation with the owner of the subject vehicle and driver during the alleged incident, the daughter stated she was driving the subject vehicle on [XXX] North at 55 MPH when the lane departure function failed causing contact with the divider which damaged one of the left tires.  As a result of the collision, the curtain airbags deployed and the vehicle was towed to a body shop in Mamaroneck, NY.  When asked, the driver stated that she had been using ACC and Lane Centering.  No injuries were alleged as a result of this incident.  _x000D_
On August [XXX], Subaru reviewed the initial telematics data [REDACTED, MAY CONTAIN CONFIDENTIAL BUSINESS INFORMATION]._x000D_
A New York State Police Accident Report provided by the customer confirmed the date, approximate time, roadway, city, and state of the incident. The report also confirmed that the subject vehicle was traveling North on [XXX] when it failed to keep right, striking a concrete barrier which caused the airbag deployment. The report further indicates that the vehicle sustained a deflated driver side front tire and that the barrier did not sustain any damage. The vehicle was subsequently towed from the roadway._x000D_
Subaru inspected the subject vehicle on September [XXX], 2022. The vehicle was found to be in a repaired condition at the time of the inspection. EDR data retrieval from the Airbag Control Module was not possible as the module had been replaced and scrapped by the customer's repair facility. If any DTCs were recorded in the Eyesight Control Module, including system cancel codes, they had been cleared from the vehicle's Eyesight system by the repair facility prior to Subaru's opportunity to inspect the vehicle. [REDACTED, MAY CONTAIN CONFIDENTIAL BUSINESS INFORMATION]  Based on the results of the investigation and the data acquired, Subaru determined that there were no abnormalities with any vehicle system, including the ADAS-related systems.</t>
  </si>
  <si>
    <t>1243-38-v4</t>
  </si>
  <si>
    <t>1243-38</t>
  </si>
  <si>
    <t>349de075c8d5471</t>
  </si>
  <si>
    <t>0d300a426ad3ee5</t>
  </si>
  <si>
    <t>Chazy</t>
  </si>
  <si>
    <t>1243-4002-v4</t>
  </si>
  <si>
    <t>1243-4002</t>
  </si>
  <si>
    <t>601dce1b92b80d9</t>
  </si>
  <si>
    <t>7a34be589143ad8</t>
  </si>
  <si>
    <t>San Luis Obispo</t>
  </si>
  <si>
    <t>The California Highway Patrol Traffic Crash Report (TCR) indicates that the driver of the subject vehicle was travelling on [XXX] at a stated speed of 70 MPH in the LH lane approaching the second vehicle (van) which was traveling south in the RH lane. According to the customer's statement to Subaru, the customer had just changed lanes from the RH lane into the LH lane to pass the slower moving traffic. The TCR states the driver of the van indicated he was travelling at a stated speed of 40-45 MPH in the RH lane in heavy traffic with approximately 10 slow moving vehicles directly in front. The TCR concludes, for unknown reasons, as the driver of the subject vehicle approached the rear of the van, the driver allowed the subject vehicle to unsafely veer to the right. This caused the front right of the subject vehicle to collide with the left rear of the van.  The driver of the subject vehicle caused the collision by driving the subject vehicle in violation of California Vehicle Code Section 22107, (unsafe turning movement). Due to the driver's failure to maintain a straight path of travel within the left-hand lane of [XXX], the driver allowed the subject vehicle to travel to the right into the right-hand lane and caused the collision with the van. As a precautionary measure, the driver of the subject vehicle was transported to a local hospital due to possible injury with complaint of pain to the neck and back. There was no reported injury noted regarding the front passenger of the subject vehicle._x000D_
Subaru inspected the subject vehicle on 11/09/2022. [REDACTED, MAY CONTAIN CONFIDENTIAL BUSINESS INFORMATION] Based upon the results of the investigation and data acquired, Subaru found no abnormalities with any system that could have caused this crash.</t>
  </si>
  <si>
    <t>1243-4332-v2</t>
  </si>
  <si>
    <t>1243-4332</t>
  </si>
  <si>
    <t>f7170367646b326</t>
  </si>
  <si>
    <t>894dc150897986e</t>
  </si>
  <si>
    <t>Younger Creek</t>
  </si>
  <si>
    <t>The customer was not alleging any defect with the vehicle. According to the customer, the subject vehicle was proceeding at a speed of 70MPH on the [XXX] on June [XXX], 2022 with the Adaptive Cruise Control (ACC) and Lane Centering (LC) engaged when the vehicle struck a deer. [REDACTED, MAY CONTAIN CONFIDENTIAL BUSINESS INFORMATION] The weather was described as clear and sunny. Due to the collision, the vehicle's frontal airbags deployed and the vehicle was towed from the scene. There were no reported injuries to either of the two vehicle occupants (driver and front passenger)._x000D_
The Eyesight owner's manual states that the Eyesight system cannot detect animals and lists a deer as an example.</t>
  </si>
  <si>
    <t>1243-4347-v3</t>
  </si>
  <si>
    <t>1243-4347</t>
  </si>
  <si>
    <t>d4b9eb1ec562843</t>
  </si>
  <si>
    <t>c3b2045819f83ab</t>
  </si>
  <si>
    <t>Covington</t>
  </si>
  <si>
    <t>According to the customer's statement, the subject vehicle was travelling eastbound on [XXX] at 74 MPH with adaptive cruise control (ACC) and lane centering (LC) engaged when a large pickup truck in front slowed down and customer's braking was not sufficient to avoid a crash. Based on the customer's description, the rear passenger, who was laying down across the rear seat with a dog, received serious injuries to the upper torso and was transported to a hospital as a result of the crash.  The driver indicated she believes that the pickup truck was rolling at the time of collision as she does not remember seeing any brake lights. She also confirmed that pre-collision warnings did alert her and that she responded by applying the brakes._x000D_
According to the crash report, the subject vehicle was traveling eastbound on [XXX] in the LH lane. A second (pickup truck) and third vehicle in the LH lane in front were stopped due to traffic congestion. The subject vehicle continued forward, striking the pickup truck with its front center, impacting the rear center of the pickup . The pickup was then pushed forward into a third vehicle. The driver of the pickup truck stated he saw the vehicle in front stopping and began slowing and he stopped just prior to the subject vehicle striking his vehicle._x000D_
Subaru inspected the subject vehicle on 1/09/2023. [REDACTED, MAY CONTAIN CONFIDENTIAL BUSINESS INFORMATION]_x000D_
Based on the inspection and crash report, the customer failed to take appropriate action to bring the vehicle to a stop given the conditions and traffic congestion ahead. AEB is unlikely to have activated given the significant speed differential between the subject vehicle traveling at 84 MPH and the stopped or stopping vehicle that the subject vehicle impacted.</t>
  </si>
  <si>
    <t>1243-4601-v3</t>
  </si>
  <si>
    <t>1243-4601</t>
  </si>
  <si>
    <t>403f9feea55841c</t>
  </si>
  <si>
    <t>6a6aea1b877acf7</t>
  </si>
  <si>
    <t>Blue Grass</t>
  </si>
  <si>
    <t>The customer is not alleging any defect with any ADAS related system. According to the customer's statement, the subject vehicle was proceeding southbound on [XXX] in the LH lane traveling at 67 MPH with adaptive cruise control (ACC) and lane centering (LC) engaged when a pickup truck entering the highway merged into the customer's lane of travel with an estimated spacing of less than 50 feet. The customer stated that the pre-collision braking did apply and he was also able to depress the brake pedal. The customer's evasive steering and braking was not sufficient to avoid a crash. The customer's vehicle rear-ended the merging vehicle and as a result of the collision the customer's vehicle left the roadway and caught fire. The subject vehicle was towed to a Copart facility in Eldridge, IA._x000D_
According the police accident report, the Ford F-150 pickup truck was positioned on [XXX] facing northbound. The driver failed to see the approaching subject vehicle and made a LH turn into the LH lane of [XXX]. The subject vehicle impacted the rear of the pickup truck. The pickup truck sustained damage but was drivable. The subject vehicle sustained heavy damage and was on fire._x000D_
Subaru inspected the subject vehicle on 1/26/2023. The vehicle had sustained damage consistent with the accident details. No data could be collected from the vehicle. There was thermal damage to the ACM module to the point that the case was breached and the internal PCB was exposed.</t>
  </si>
  <si>
    <t>1243-4796-v4</t>
  </si>
  <si>
    <t>1243-4796</t>
  </si>
  <si>
    <t>1c2e383676970e3</t>
  </si>
  <si>
    <t>40981d31dbf8993</t>
  </si>
  <si>
    <t>Cedar Park</t>
  </si>
  <si>
    <t>The customer is not alleging any defect with the vehicle.  The customer was directed by a retailer to contact Subaru with a request for Goodwill Loyalty Purchase Assistance to be used toward the purchase of a new Subaru vehicle.  _x000D_
According to the customer's statement, the subject vehicle was proceeding at 45 MPH in Cedar Park, TX when another vehicle pulled out in front of the subject vehicle and the customer did not have enough time to react to avoid the collision. The customer's response to an incident questionnaire indicates that Adaptive Cruise Control (ACC) and Lane Centering (LC) were engaged at the time of the incident.  The customer further stated the Automatic Emergency Brake (AEB) did engage to reduce the speed at the time of impact. As a result of the collision, no airbags deployed and subject vehicle was towed from the location of the incident._x000D_
A police report confirms the location of the accident on northeast bound lanes of [XXX] in Cedar Park Texas at 3:47 PM on [XXX]. The report indicates that the driver of the other vehicle failed to yield the right of way while leaving a private driveway (parking lot exit).</t>
  </si>
  <si>
    <t>1243-4930-v4</t>
  </si>
  <si>
    <t>1243-4930</t>
  </si>
  <si>
    <t>3a96d26e4b4b593</t>
  </si>
  <si>
    <t>cee51edc6bfaf71</t>
  </si>
  <si>
    <t>Jefferson</t>
  </si>
  <si>
    <t>1243-4978-v3</t>
  </si>
  <si>
    <t>1243-4978</t>
  </si>
  <si>
    <t>5addc554375f25d</t>
  </si>
  <si>
    <t>2115df22db57e5a</t>
  </si>
  <si>
    <t>Shallotte</t>
  </si>
  <si>
    <t>The subject vehicle was travelling at an unknown speed on [XXX], Shallotte NC at approx. 12:30 AM on 11/[XXX]/2023 in a 55 MPH zone. In an accident questionnaire submitted 3/7/2023, the customer indicated that Adaptive Cruise Control (ACC) and Lane Centering (LC) were engaged. The customer alleged that his infotainment screen went blank and his Eyesight, auto braking, and other safety features were disabled just prior to the crash.  According to the customer's statement, the vehicle was rounding a curve in the road when the driver noticed a trampoline in the lane of travel. The customer stated that he was unable to stop in time and the subject vehicle swerved off the road and into a gully, where it sustained front end damage. The customer initially stated that there were no injuries other than a few minor bruises and bumps from the seatbelts. However, the customer later alleged that his wife had suffered broken ribs. No airbags were deployed and the vehicle was towed from the scene. The customer further stated there were police already at the scene responding to the road debris._x000D_
A police report indicates that the subject vehicle was traveling Northbound on [XXX] at 45 MPH when it collided with a trampoline in the roadway. The vehicle then left the roadway to the right and impacted a ditch with the front bumper. The report further shows that the vehicle was drivable and not towed from the scene. Damage was reported as being across the front and rated a 2 out of 7 in severity. The report also indicates that there were no reported injuries to either occupant._x000D_
Subaru inspected the subject vehicle on 3/28/2023.[REDACTED, MAY CONTAIN CONFIDENTIAL BUSINESS INFORMATION] _x000D_
Based on the results of the inspection, the data acquired and the supplier analysis of the infotainment unit data log files, the screen did not blank out at the time of the incident. Therefore, the EyeSight safety systems were not disabled. Pre-collision braking did not activate due to evasive maneuvers performed by the driver of the vehicle. Similarly, ACC and LC would have cancelled upon determining the driver's actions as being evasive maneuvers in order to return full vehicle control to the driver.</t>
  </si>
  <si>
    <t>1243-5133-v2</t>
  </si>
  <si>
    <t>1243-5133</t>
  </si>
  <si>
    <t>30e9bd7a3430a94</t>
  </si>
  <si>
    <t>e0d4d01de38df67</t>
  </si>
  <si>
    <t>Flat Top</t>
  </si>
  <si>
    <t>The customer is not alleging any vehicle defect and had contacted Subaru to inquire whether her maintenance policy would cover the cost of necessary repairs. The subject vehicle was traveling southbound on [XXX] in WV near [XXX] at 9:40 PM EST when it struck two animals crossing in front. The customer confirmed that Adaptive Cruise Control (ACC) and the Lane Centering Function (LCF) were both engaged at the time of the incident. The police were contacted but did not respond to the incident. The vehicle was towed from the location. The customer confirmed that there were no injuries and stated that they were very happy with the performance of the vehicle.</t>
  </si>
  <si>
    <t>1243-5173-v3</t>
  </si>
  <si>
    <t>1243-5173</t>
  </si>
  <si>
    <t>9f830bed38ea821</t>
  </si>
  <si>
    <t>93d37eb6f8ab932</t>
  </si>
  <si>
    <t>Marthasville</t>
  </si>
  <si>
    <t>According to the customer's statement, at approximately 4:58 PM CST on 3/[XXX]/2023 the subject vehicle was traveling eastbound on [XXX] approaching [XXX] at a stated speed of 55 MPH with Adaptive Cruise Control (ACC) and the Lane Centering (LC) engaged. A vehicle in front stopped in order to make a left hand turn onto [XXX]. The subject vehicle was not stopping so the customer applied the service brake pedal. However, the subject vehicle did not stop in time and clipped the rear end of the vehicle making the turn. The subject vehicle then went off the roadway to the right and struck a sign, further damaging the front end. Police responded to the scene. The customer was checked for injuries but was not transported to a hospital. The customer is reporting minor injuries that include whiplash, bruising and an abrasion/burn in the neck area that she assumed to be from the seatbelt. The customer further stated that the airbags did not deploy and the vehicle was towed from the scene. Vehicle telematics data confirmed the location of the incident._x000D_
[REDACTED, MAY CONTAIN CONFIDENTIAL BUSINESS INFORMATION]_x000D_
As published in the owner's manual, there are limits to the situation judgment capabilities of the Adaptive Cruise Control system. Deceleration may not take place in time in situations including: the speed difference with the vehicle in front is too large or the vehicle in front decelerates unexpectedly or if the decelerating vehicle in front unexpectedly slows down or suddenly brakes. Drivers are advised to apply the brake pedal to decelerate the vehicle if necessary. The customer, travelling at a speed of 60 MPH, did not apply any brake or take any evasive measure to avoid the stopped vehicle in front until 1.0 sec. before impact. Based on the results of the inspection and the data acquired, Subaru determined that there were no defects with the ACC or LC systems.</t>
  </si>
  <si>
    <t>1243-5798-v2</t>
  </si>
  <si>
    <t>1243-5798</t>
  </si>
  <si>
    <t>c7413ab3897dd27</t>
  </si>
  <si>
    <t>8c0f6e0549cbc41</t>
  </si>
  <si>
    <t>Mayflower</t>
  </si>
  <si>
    <t>Subaru's Customer Advocacy Department (CAD) received a telephone call from the customer on 6/20/2023 at 18:30 EST reporting a crash that had occurred on that date.  The customer did not provide any descriptive detail regarding the incident. An accident questionnaire partially completed by the customer indicates that Adaptive Cruise Control (ACC) and Lane Centering (LC) were engaged at the time of the incident._x000D_
[REDACTED, MAY CONTAIN CONFIDENTIAL BUSINESS INFORMATION] The crash occurred on [XXX] in Mayflower, AR. [REDACTED, MAY CONTAIN CONFIDENTIAL BUSINESS INFORMATION]_x000D_
The customer indicated that all  the airbags deployed and that the subject vehicle was towed from the scene of the incident. The customer refused to provide any further details pending communication with an insurance agent. As of 7/14/2023, the customer and the insurance company have been unresponsive to Subaru's requests for additional information.</t>
  </si>
  <si>
    <t>1243-6797-v2</t>
  </si>
  <si>
    <t>1243-6797</t>
  </si>
  <si>
    <t>3846e127e1a4019</t>
  </si>
  <si>
    <t>8e641eb732c117b</t>
  </si>
  <si>
    <t>Hainesport</t>
  </si>
  <si>
    <t>According to the customer narrative, the vehicle was being operated on Friday, December [XXX], 2023 at approximately 5:52PM EST with Adaptive Cruise Control (ACC) and Lane Centering (LCF) engaged in an area near the Country Farm service station located on [XXX] ([XXX]). The customer described the roadway as being wet but not slippery, and that it had just stopped raining. The customer indicated that the vehicle was traveling at the posted speed limit (45 MPH) when the incident occurred and that the vehicle struck a pole and a mailbox, entering the service station property before being brought to a stop. The driver's frontal and knee airbags deployed, and the vehicle sustained front bumper and roof damage and was towed from the scene. The customer claimed to have sustained bruising from the seatbelt, whiplash and a concussion. The customer stated that she frequently uses the ACC and LCF features._x000D_
Subaru inspected the subject vehicle on 01/16/2024. [REDACTED, MAY CONTAIN CONFIDENTIAL BUSINESS INFORMATION]_x000D_
Further analysis [REDACTED, MAY CONTAIN CONFIDENTIAL BUSINESS INFORMATION] indicated that LCF was cancelled and the cancel alert (including audible and visual warnings) was provided to the driver [REDACTED, MAY CONTAIN CONFIDENTIAL BUSINESS INFORMATION] The reason for the cancellation was the system could not recognize the white line, most likely due to environmental factors including darkness and a wet and reflective road surface. Additionally, a site inspection noted the roadway as being a local country road with one lane of travel in each direction with multiple points of access and breaks in the lane markings. It was also noted that where the crash occurred, some steering correction is needed to maintain the centerline of the roadway._x000D_
Based on the inspection and data acquired, Subaru determined that there were no abnormalities in the ACC or LCF systems. The LCF function was cancelled due to the inability of the system to detect the lane lines. Visual and audible warnings were provided to prompt the driver to retake full control of the steering function. The driver allowed the vehicle to leave the roadway.</t>
  </si>
  <si>
    <t>1243-7108-v2</t>
  </si>
  <si>
    <t>1243-7108</t>
  </si>
  <si>
    <t>fcfc19d848e5da9</t>
  </si>
  <si>
    <t>cc6f7f92106966f</t>
  </si>
  <si>
    <t>Oxford</t>
  </si>
  <si>
    <t>AL</t>
  </si>
  <si>
    <t>The subject vehicle was travelling northbound on [XXX] at a stated speed of 45 MPH with Adaptive Cruise Control(ACC) and Lane Centering (LCF) engaged. The customer stated that she had been driving for 10 hours and that it was raining heavily, with low visibility. The vehicle left the roadway at a rail crossing and came to rest parallel with the railroad tracks with the RH side of the vehicle centered within the tracks. The impact with the tracks deflated all four tires and caused damage to the right front bumper cover. There was also damage reported to certain suspension and steering components and the vehicle undercarriage. There were no airbags deployed and the vehicle was towed from the scene. The customer reported minor injuries and was not provided, nor sought immediate medical attention. During a follow-up conversation, the customer indicated that she came upon a road that turned left and,  because of the heavy rain she did not see the curve._x000D_
Subaru inspected the subject vehicle on 3/12/2024. Prior to the inspection, the customer provided a diagram of the scene, indicating that the vehicle had actually been travelling in an east-bound direction and that it was a right-hand turn, not left-hand as originally stated. A site visit indicated that the roadway was a country lane with no lane markings. The curve was a sharp (90-degree) turn to the right signposted with an arrow identifying the direction in which to turn. Though there were no previous signs to indicate the approaching turn, there was a Truck Crossing (W11-10) sign 0.3 miles before the turn to alert motorists in advance of locations where unexpected entries into the roadway, which included a recommended speed of 25 MPH._x000D_
[REDACTED, MAY CONTAIN CONFIDENTIAL BUSINESS INFORMATION]_x000D_
Based on the inspection, the data acquired and the customer's narrative, Subaru determined that the customer was likely using the ACC, but not LCF, on a roadway with no markings, during a period of heavy rain and low visibility, at a speed that exceeded the posted and recommended speed limits. The customer failed to notice the approaching sharp turn to the right and did not apply the brakes in time to appropriately slow the vehicle to a speed that would allow it to safely navigate the turn. As a result, the customer lost control of the vehicle, which left the roadway and came to rest on the railroad tracks.</t>
  </si>
  <si>
    <t>1243-7274-v2</t>
  </si>
  <si>
    <t>1243-7274</t>
  </si>
  <si>
    <t>35fd836e73a81cf</t>
  </si>
  <si>
    <t>00363b910ec53c3</t>
  </si>
  <si>
    <t>Westfield</t>
  </si>
  <si>
    <t>According to the customer's statement, the subject vehicle was travelling westbound on [XXX], towing a trailer, with Adaptive Cruise Control (ACC) and Lane Centering (LCF) engaged. The customer stated that he was viewing the passenger side mirror and, upon returning his eyes forward, realized that the vehicle was in close proximity to a guard rail. The customer further stated that while trying to avoid a crash, the vehicle rolled onto the left side before returning to an upright position. The customer reported the vehicle was towed from the scene. The customer alleged that there was no warning sounded as the vehicle approached the guard rail._x000D_
According to the Police Accident Report, the vehicle operator (customer) reported that the trailer had moved onto the rumble strip and the operator lost control of the vehicle. The subject vehicle struck a guardrail on the passenger side and the vehicle and trailer overturned onto the driver's side while trying to correct._x000D_
Subaru inspected the subject vehicle on 4/09/2024.  [REDACTED, MAY CONTAIN CONFIDENTIAL BUSINESS INFORMATION]_x000D_
Subaru determined that there was no abnormality with the ADAS systems. Either through steering input by the driver, or outside wind forces on the vehicle and trailer, the vehicle was forced across the right-hand solid white lane line. The vehicle twice provided visual and audible warnings and the customer acknowledged contact with the rumble strips outside of the roadway lane marker but took no corrective action prior to impact with the guardrail. Further, the vehicle owner's manual states that the system will not operate correctly if a trailer or another vehicle is being towed and that the ACC and LKA should not be used in these situations.</t>
  </si>
  <si>
    <t>1243-7279-v3</t>
  </si>
  <si>
    <t>1243-7279</t>
  </si>
  <si>
    <t>97960a09254512e</t>
  </si>
  <si>
    <t>5309d9f337e9e86</t>
  </si>
  <si>
    <t>Victoria</t>
  </si>
  <si>
    <t>According to the customer's statements, the vehicle was proceeding through a metered intersection at a stated speed of 40 to 50 MPH with Adaptive Cruise Control (ACC) and Lane Centering (LCF) engaged when it was struck in the left front fender and wheel area by an SUV making a left-hand turn from an opposing lane of traffic. There was no airbag deployment. A front passenger was transported to the hospital with what the customer stated to be minor soft tissue injuries. The vehicle was towed from the scene. Telematics data confirmed the location of the incident and indicated that there were no MIL/Warning or DTCs transmitted prior to the accident._x000D_
Subaru inspected the subject vehicle on 4/10/2024. [REDACTED, MAY CONTAIN CONFIDENTIAL BUSINESS INFORMATION]_x000D_
Based on the inspection and the data acquired, Subaru determined that there were no abnormalities with the ACC or LCF systems. The ACC had been engaged and appropriately cancelled upon application of the brake pedal. The LCF was not engaged during the affected ignition cycle.</t>
  </si>
  <si>
    <t>1243-7850-v3</t>
  </si>
  <si>
    <t>1243-7850</t>
  </si>
  <si>
    <t>fdb56aa6a0677ac</t>
  </si>
  <si>
    <t>d9ce64a922ea4f1</t>
  </si>
  <si>
    <t>Newport</t>
  </si>
  <si>
    <t>According to the customer's statement, the customer's 16-year-old son was driving the subject vehicle westbound on [XXX] at 55-60 MPH with adaptive cruise control (ACC) and Lane Centering (LCF) engaged. The driver dropped a water bottle and reached down to pick it up. The vehicle left the roadway onto the grass median and rolled twice. The driver sustained a minor burn from the airbag deployment and was examined at the hospital as a precautionary measure, receiving no treatment. The subject vehicle was towed from the scene. A [XXX] report confirmed the location of the incident and portions of the customer's narrative indicating that the subject vehicle was traveling westbound on [XXX] when the driver lost control of the vehicle, entered the grass median to the left and overturned, coming to rest in the median._x000D_
Subaru inspected the subject vehicle on 7/02/2024. [REDACTED, MAY CONTAIN CONFIDENTIAL BUSINESS INFORMATION]_x000D_
Based on the vehicle inspection and data acquired, Subaru determined that the driver failed to maintain the required steering inputs, causing the system to cancel. The driver further failed to retake full control of the vehicle and allowed the vehicle to proceed straight during a right-hand curve, resulting in the vehicle leaving the roadway and rolling in the grass median.</t>
  </si>
  <si>
    <t>1243-7991-v2</t>
  </si>
  <si>
    <t>1243-7991</t>
  </si>
  <si>
    <t>d31135dc120c5e8</t>
  </si>
  <si>
    <t>Legacy</t>
  </si>
  <si>
    <t>20c098e1e824830</t>
  </si>
  <si>
    <t>New Kent</t>
  </si>
  <si>
    <t>The customer's attorney contacted Subaru customer service on 10/[XXX]/2023 requesting any data that may be stored in the vehicle's EyeSight systems. There was no allegation of any vehicle defect. According to the police crash report, the subject vehicle was traveling westbound in the left-hand lane of [XXX]. A box truck traveling westbound in the right-hand lane, approx. 5 MPH slower than the subject vehicle, made an unsafe lane change, striking the subject vehicle in the right front with its left rear quarter panel. As a result of the contact, the subject vehicle departed from the road to the left and struck a tree. The customer was transported to the hospital with moderate injuries and the vehicle was towed from the scene. [REDACTED, MAY CONTAIN CONFIDENTIAL BUSINESS INFORMATION]</t>
  </si>
  <si>
    <t>1243-8010-v2</t>
  </si>
  <si>
    <t>1243-8010</t>
  </si>
  <si>
    <t>50f7dcbfb05d359</t>
  </si>
  <si>
    <t>eb525e8cb7c728c</t>
  </si>
  <si>
    <t>According to the customer's statement, the subject vehicle was travelling southbound on [XXX] through Las Vegas, NV at 65 MPH at approximately 5 AM (sunrise) with adaptive cruise control (ACC) and lane centering (LCF) engaged. The customer further stated that the lane curved and she pulled the vehicle to the other side and lost control. The front of the vehicle struck the median head on. The customer was not transported to the hospital but did allege minor injuries including whiplash and a concussion and was given ibuprofen and a muscle relaxer after seeking medical attention at some point after the incident. The customer indicated the vehicle was towed, but did not specify whether it was towed from the scene of the incident. It was later clarified that the vehicle was not towed from the scene and was driven until such time as it was transported to the body shop. Photographs provided by the customer show front end damage to the vehicle consistent with striking an object head-on, but not at high speed. The police were not contacted. The customer did not allege any defect associated with ACC or LCF. The customer voiced concern that the airbags had not deployed._x000D_
Subaru inspected the subject vehicle on 7/11/2024. The vehicle was in a disassembled condition. Analysis of the photographs indicated that the vehicle had impacted the barrier during a sideways skid, with scratches to the bumper appearing left to right. This is supported by the customer's statements [REDACTED, MAY CONTAIN CONFIDENTIAL BUSINESS INFORMATION]_x000D_
Based on the vehicle inspection and the data acquired, Subaru determined that there were no abnormalities with the ACC or LCF functions. The ACC and LCF functions had been canceled by an application of the brake pedal at some time outside of the recorded events. The vehicle was being driven at a high rate of speed when, per the customer's statement, the driver turned the steering wheel abruptly and lost control of the vehicle, eventually leading to a skid, from left to right, before front end impact with a concrete highway barrier.</t>
  </si>
  <si>
    <t>1243-8194-v3</t>
  </si>
  <si>
    <t>1243-8194</t>
  </si>
  <si>
    <t>07722d9757dff0b</t>
  </si>
  <si>
    <t>4304b030a6af69f</t>
  </si>
  <si>
    <t>Ephrata</t>
  </si>
  <si>
    <t>WA</t>
  </si>
  <si>
    <t>According to the customer's statement, the subject vehicle was travelling approx. 45-50 MPH on [XXX] at 7:30PM on 7/9/2024 with Adaptive Cruise Control (ACC) and Lane Centering (LCF) engaged. As the vehicle approached a stationary vehicle in the roadway, the driver depressed the brake pedal. The driver's foot slid off the brake pedal and unintendedly depressed the accelerator pedal. The subject vehicle then struck the stationary vehicle. The driver's frontal and knee airbags deployed. The customer was transported to the hospital and diagnosed as having a cut to the eyebrow, a contusion on left kidney and three broken ribs. The subject vehicle was towed from the scene of the incident. The customer later stated that the stationary vehicle was a Dodge pickup truck._x000D_
Subaru inspected the subject vehicle on 8/08/2024. [REDACTED, MAY CONTAIN CONFIDENTIAL BUSINESS INFORMATION]_x000D_
Based on the vehicle inspection and the data acquired, Subaru determined that there were no abnormalities with the ACC system, and that LCF was likely not engaged. The subject vehicle was travelling at 65 MPH when it approached a vehicle that was stopped in the roadway. As published in the owner's manual, there are limits to the situation judgment capabilities of the ACC system. Deceleration may not take place in time under conditions where the speed difference with the vehicle in front is too large. The driver of the subject vehicle did not allow for sufficient braking distance nor take evasive steering action to avoid a collision with the stopped vehicle.</t>
  </si>
  <si>
    <t>1243-8206-v2</t>
  </si>
  <si>
    <t>1243-8206</t>
  </si>
  <si>
    <t>c2f93a5371f6930</t>
  </si>
  <si>
    <t>Impreza</t>
  </si>
  <si>
    <t>4fd7b9d7a56311c</t>
  </si>
  <si>
    <t>Vernon Hills</t>
  </si>
  <si>
    <t>According to the customer's statement, the vehicle was travelling on [XXX] in Vernon Hills, IL at a speed of 31 MPH at 11 PM with Adaptive Cruise Control (ACC) and Lane Centering (LCF) engaged. The customer alleged the EyeSight system disengaged and that the lane assist pulled the vehicle to the left toward a high curb. The driver turned the steering wheel to the right and struck a high curb and two trees. The driver's frontal and knee airbags deployed and the customer alleged minor injuries, including scratches along the arms and knee. The customer stated that police were called and a field sobriety test administered, but did not provide the results. [REDACTED, MAY CONTAIN CONFIDENTIAL BUSINESS INFORMATION]_x000D_
Subaru inspected the subject vehicle on 08/01/2024. [REDACTED, MAY CONTAIN CONFIDENTIAL BUSINESS INFORMATION]_x000D_
Based on the vehicle inspection and the data acquired, Subaru determined that there was no ADAS engagement. The driver was in full control of the vehicle but failed to maintain control and caused the vehicle to impact a parking lot island and a small tree planted within the island.</t>
  </si>
  <si>
    <t>1243-8299-v2</t>
  </si>
  <si>
    <t>1243-8299</t>
  </si>
  <si>
    <t>9461498956913d2</t>
  </si>
  <si>
    <t>0db909c46b6a393</t>
  </si>
  <si>
    <t>Edgewood</t>
  </si>
  <si>
    <t>According to the customer statement, the subject vehicle was travelling westbound on [XXX] at approximately 75 MPH at 7:15PM with Adaptive Cruise Control (ACC) and Lane Centering (LCF) engaged. There was a slight lane shift due to construction. The LCF cancelled and the customer acknowledged that the vehicle provided a warning indicating the function had been discontinued. The vehicle then struck a concrete barrier along the left side. The customer indicated that the left front and rear tires experienced a blowout and there was some damage to the driver's door and left-side wheel arch moldings. No airbags were deployed, there were no injuries reported and the vehicle was towed from the scene._x000D_
Subaru inspected the subject vehicle on 8/20/2024. There was no EDR data stored. [REDACTED, MAY CONTAIN CONFIDENTIAL BUSINESS INFORMATION]_x000D_
The incident location was within a construction zone with a 60 MPH speed limit. [REDACTED, MAY CONTAIN CONFIDENTIAL BUSINESS INFORMATION]_x000D_
Based on the vehicle inspection and the data acquired, Subaru determined that there were no abnormalities with the LCF or ACC functions. The Owner's Manual states not to use the Lane Centering Function on roads with tentative lanes due to construction work. Despite the system warning, the driver maintained leftward steering input which caused the vehicle to impact a concrete barrier.</t>
  </si>
  <si>
    <t>1243-8428-v2</t>
  </si>
  <si>
    <t>1243-8428</t>
  </si>
  <si>
    <t>ebfd526fa628230</t>
  </si>
  <si>
    <t>386e5d2e42c622c</t>
  </si>
  <si>
    <t>Stuart</t>
  </si>
  <si>
    <t>According to the customer's statement, the subject vehicle was traveling at 47 MPH southbound on [XXX] at 10:03AM on [XXX] with Adaptive Cruise Control (ACC) and Lane Centering (LCF) engaged. As the vehicle passed a side street, there was a break in the lane lines. The customer stated that the lane centering stopped working and that the vehicle did not maintain a straight path, causing the vehicle to impact a steel guardrail on the right-hand side of the roadway. The driver's frontal airbags and the curtain airbags deployed. The customer did not state any injuries. The vehicle sustained heavy frontal damage and was towed from the scene._x000D_
Subaru inspected the subject vehicle on 9/04/2024. [REDACTED, MAY CONTAIN CONFIDENTIAL BUSINESS INFORMATION]_x000D_
A site inspection identified the road on which the incident occurred to be a two-lane road (one lane in each direction) with a posted speed limit of 45 MPH. Approximately 500 feet prior to the incident location, the yellow center-line splits to accommodate a left-turn lane in the opposite direction and the road widens to allow for a right turn lane in the southbound direction. These changes require the driver to make a slight steering adjustment to the left in order to maintain the appropriate lane of travel through the intersection. [REDACTED, MAY CONTAIN CONFIDENTIAL BUSINESS INFORMATION]_x000D_
Based on the vehicle inspection and data acquired, Subaru determined that there were no abnormalities with the ACC or LCF systems. LCF was not observed to be engaged and the driver did not provide any steering input to maintain the appropriate lane of travel, nor did the driver apply the brake pedal at any time to avoid or mitigate the crash with the guardrail.</t>
  </si>
  <si>
    <t>1243-8486-v2</t>
  </si>
  <si>
    <t>1243-8486</t>
  </si>
  <si>
    <t>5d33dcc7d207b40</t>
  </si>
  <si>
    <t>b0d904f672fe0c9</t>
  </si>
  <si>
    <t>Napavine</t>
  </si>
  <si>
    <t>According to the customer's statements, the subject vehicle was traveling on [XXX] at 11PM on Sunday, 8/[XXX]/2024 at a speed of 25 MPH with Adaptive Cruise Control (ACC) and Lane Centering (LCF) engaged. The customer alleged that the vehicle steered toward a barrier. The vehicle struck the barrier, left the roadway into a ditch and rolled over. The vehicle sustained impact damage to the front left quarter and rollover damage to both sides, roof and hood. The customer stated that she was wearing a seatbelt but remembered regaining consciousness in the rear seat. The customer indicated she was treated for minor injuries but was not transported to the hospital. The curtain airbags deployed. The vehicle was towed from the scene._x000D_
Subaru was not able to inspect the subject vehicle. The customer was uninsured at the time of the incident and the tow company indicated the vehicle could not be made available as it was scheduled to be sent to auction. The customer did not provide a requested copy of the police report._x000D_
A review of the incident location indicated that the short section of [XXX] that would have been travelled by the vehicle has been an area of a number of construction/development projects. Subaru was unable to determine the condition of the roadway or lane markings at the time of the incident.</t>
  </si>
  <si>
    <t>1243-8635-v1</t>
  </si>
  <si>
    <t>1243-8635</t>
  </si>
  <si>
    <t>ca4ec55f0ac8c52</t>
  </si>
  <si>
    <t>684692e1ed26bba</t>
  </si>
  <si>
    <t>Woodland</t>
  </si>
  <si>
    <t>According to the customer's statement, the subject vehicle was traveling in the left lane of [XXX] southbound at approximately 6PM. The customer had just set the adaptive cruise control (ACC) to 70 MPH and that lane centering (LCF) was engaged. The traffic was described as steady. As the subject vehicle approached an accident scene in the same lane of travel, the vehicle in front came to a sudden stop. The customer stated that she applied the brake pedal and turned the steering wheel to the right but impacted the vehicle in front on the right-side rear bumper. The frontal airbags deployed upon impact and the subject vehicle then left the roadway. The vehicle subsequently caught fire and was towed from the scene. There were no injuries reported._x000D_
[REDACTED, MAY CONTAIN CONFIDENTIAL BUSINESS INFORMATION]_x000D_
Based on the customer's statements and the available data, Subaru determined that there were no abnormalities with the ACC or LCF systems. The data indicated that the ACC system first activated vehicle braking, followed by AEB, prior to the customer applying any effective braking. Per the owner's manual, there are limits to the situational judgment capabilities of the ACC system. The system cannot predict  a vehicle in front unexpectedly decelerating or suddenly braking.</t>
  </si>
  <si>
    <t>1243-8674-v1</t>
  </si>
  <si>
    <t>1243-8674</t>
  </si>
  <si>
    <t>f85f33493b2d05a</t>
  </si>
  <si>
    <t>afe2adf2d111658</t>
  </si>
  <si>
    <t>Arnold</t>
  </si>
  <si>
    <t>NE</t>
  </si>
  <si>
    <t>The customer stated that the vehicle was traveling westbound on [XXX] near [XXX] at 60 MPH with Adaptive Cruise Control (ACC) and Lane Centering (LCF) engaged when it struck a deer crossing the roadway. No airbags were deployed. The vehicle caught fire as a result of the collision and was towed from the scene.</t>
  </si>
  <si>
    <t>1243-8675-v2</t>
  </si>
  <si>
    <t>1243-8675</t>
  </si>
  <si>
    <t>49eb37ebd94f8e6</t>
  </si>
  <si>
    <t>e1733c89d4f6cac</t>
  </si>
  <si>
    <t>The customer stated that the subject vehicle was traveling westbound on [XXX] between Grand Junction, CO and West Moab, UT at 80 MPH with Adaptive Cruise Control (ACC) and Lane Centering (LCF) engaged. As the vehicle approached two slower moving tractor trailers, the driver changed lanes from the right-hand lane to the left-hand lane. The customer stated that, once in the left-hand lane, he judged the vehicle traveling too far to the right and made a quick turn of the steering wheel to the left. In doing so, the customer stated that he oversteered the vehicle, causing the vehicle to leave the roadway and rollover. The curtain airbags deployed. The customer was assessed by EMTs and released after declining transportation to the hospital. The vehicle was towed from the scene._x000D_
Subaru was unable to gain access to inspect the subject vehicle. The customer became unresponsive.</t>
  </si>
  <si>
    <t>1243-9080-v1</t>
  </si>
  <si>
    <t>1243-9080</t>
  </si>
  <si>
    <t>eba0fa9370ce909</t>
  </si>
  <si>
    <t>52fc89774d1d342</t>
  </si>
  <si>
    <t>Plainview</t>
  </si>
  <si>
    <t>Based on the customer's statement, the subject vehicle was traveling southbound on [XXX} at 10:09 PM at 78 MPH with Adaptive Cruise Control (ACC) and Lane Centering (LCF) engaged when it struck a deer crossing the roadway. As a result of the impact, all of the airbags deployed. The customer indicated that upon pulling the vehicle to a stop on the side of the roadway, the vehicle caught on fire. All five occupants exited the vehicle and there were no reported injuries. The vehicle was towed from the scene._x000D_
[REDACTED, MAY CONTAIN CONFIDENTIAL BUSINESS INFORMATION]</t>
  </si>
  <si>
    <t>1243-9301-v2</t>
  </si>
  <si>
    <t>1243-9301</t>
  </si>
  <si>
    <t>07c113101a48d08</t>
  </si>
  <si>
    <t>5c15effac490b52</t>
  </si>
  <si>
    <t>San Diego</t>
  </si>
  <si>
    <t>According to the customer's statement, the subject vehicle was travelling eastbound in the far-left lane of to [XXX] (XXX) at between 45 and 50 MPH at approximately 6PM (PST) with Adaptive Cruise Control (ACC) and Lane Centering (LCF) engaged. The customer noted the conditions as being dark. The customer further stated that as the roadway curved to the right, the system "shut off"" and the vehicle climbed the curb to the left</t>
  </si>
  <si>
    <t>1243-9485-v2</t>
  </si>
  <si>
    <t>1243-9485</t>
  </si>
  <si>
    <t>687984c4414b163</t>
  </si>
  <si>
    <t>5bba16aeb8c54ef</t>
  </si>
  <si>
    <t>Chili</t>
  </si>
  <si>
    <t>The customer did not allege any defect with the vehicle. The customer contacted Subaru to request data from the EyeSight system after being struck by another vehicle. The customer was operating the subject vehicle on 12/[XXX]/2024 in the vicinity of [XXX} and [XXX], traveling at 40-45 MPH at approximately 1:30PM (EST). [REDACTED, MAY CONTAIN CONFIDENTIAL BUSINESS INFORMATION] According to the customer's statement,  another vehicle swerved to avoid a third vehicle and struck the subject vehicle head-on. The customer suffered minor cuts, scratches, and bruises but was transported to the hospital as a precautionary measure out of concern for potential internal injuries. The customer reported that all of the airbags deployed and the vehicle was towed from the scene.</t>
  </si>
  <si>
    <t>1306-10345-v4</t>
  </si>
  <si>
    <t>1306-10345</t>
  </si>
  <si>
    <t>Toyota Motor Engineering &amp; Manufacturing</t>
  </si>
  <si>
    <t>09532003efa0cea</t>
  </si>
  <si>
    <t>Camry</t>
  </si>
  <si>
    <t>ac7bbb42b9626f1</t>
  </si>
  <si>
    <t>Delta</t>
  </si>
  <si>
    <t>CO</t>
  </si>
  <si>
    <t>From original report (March 28, 2025):_x000D_
Entries in this report are based on unconfirmed allegations:_x000D_
On March [XXX], 2025, Toyota received an initial contact from the owner and driver of a vehicle involved in the crash. She described that cruise control was engaged leading up to the crash event, and alleged that she was in, "a single-vehicle accident due to an issue with the lane assist feature in her Toyota Camry veering the car hard to the right into a guardrail."" She stated the resulted in the airbags deploying and total loss of the vehicle with  a tow-away from the scene. The driver alleged injuries including whiplash</t>
  </si>
  <si>
    <t>1306-1065-v1</t>
  </si>
  <si>
    <t>1306-1065</t>
  </si>
  <si>
    <t>0eecc7fa6ddc4ad</t>
  </si>
  <si>
    <t>Lexus</t>
  </si>
  <si>
    <t>RX450H</t>
  </si>
  <si>
    <t>d0d33333ba895d5</t>
  </si>
  <si>
    <t>Indianapolis</t>
  </si>
  <si>
    <t>- The subject vehicle of this report was procured by and up-fitted to ADS L4 by May Mobility with a May Mobility automated driving kit._x000D_
- The content of this report, including the summary of incident below, is the information as Toyota received from May Mobility on Aug [XXX], 2021._x000D_
Summary of incident (as Toyota received from May Mobility):_x000D_
Leading up to the event, the autonomy system functioned as expected, following the route through the intersection, slowing appropriately for other road users and the red light. Vehicle autonomous behavior was performing as expected and did not require a takeover._x000D_
Description of event:_x000D_
16:17:30 May vehicle, traveling East on [XXX], in full working order with no errors, autonomously navigates the [XXX] and [XXX] intersection._x000D_
16:17:35 May vehicle autonomously begins to slow to match the speed of a vehicle several car lengths ahead merging into our lane from the right._x000D_
16:17:37 By means of an accelerator pedal push the vehicle is moved into manual mode by the safety operator - from this point forward, the vehicle remains under control of the safety operator._x000D_
16:17:43 Manual acceleration command via the pedal increases._x000D_
16:17:44 Safety operator manually continues straight which, due to the slight change in angle of the road, brings the May vehicle into contact with the first vehicle to the right._x000D_
16:17:44 Safety operator manually applies brake._x000D_
16:17:45 With the manual brake command now at maximum the May vehicle makes contact with the second vehicle._x000D_
Vehicle indicators for manual or autonomy mode:_x000D_
The visual indicator for autonomy was functioning properly and as expected in the time leading up to and during the event._x000D_
The audio communication device in the vehicle was functioning properly and was used to call for assistance and to report the incident._x000D_
The audio beep to indicate a state change was functioning properly._x000D_
The safety operator had some audio indication that he had exited autonomy and entered manual operation, and he had full visual indication on his dashboard.</t>
  </si>
  <si>
    <t>1306-10766-v1</t>
  </si>
  <si>
    <t>1306-10766</t>
  </si>
  <si>
    <t>276b986f7fdd2d3</t>
  </si>
  <si>
    <t>Toyota</t>
  </si>
  <si>
    <t>RAV4</t>
  </si>
  <si>
    <t>c5793998cd6826f</t>
  </si>
  <si>
    <t>Putney</t>
  </si>
  <si>
    <t>The entries in this report are based on unconfirmed allegations._x000D_
On May [XXX], 2025, Toyota received an allegation related to this crash from the vehicle owner. The owner claimed she lost control of the vehicle after the "driver assist feature malfunctioned""</t>
  </si>
  <si>
    <t>1306-10839-v1</t>
  </si>
  <si>
    <t>1306-10839</t>
  </si>
  <si>
    <t>c794c4ebdf0c94d</t>
  </si>
  <si>
    <t>f8df332c8a22bd8</t>
  </si>
  <si>
    <t>Beverly</t>
  </si>
  <si>
    <t>Entries in this report are based on unconfirmed allegations:_x000D_
On May [XXX], 2025, Toyota received an initial contact from the owner and driver of a vehicle involved in the crash. The owner described that cruise control was engaged leading up to the crash event, and alleged that while driving on a highway, the car's "lane assist"" could not read the lane lines properly and pulled the vehicle. The owner tried to correct the vehicle by steering and braking</t>
  </si>
  <si>
    <t>1306-11031-v1</t>
  </si>
  <si>
    <t>1306-11031</t>
  </si>
  <si>
    <t>fcbf02b42adc1c2</t>
  </si>
  <si>
    <t>Prius</t>
  </si>
  <si>
    <t>6468d13fa0c7bed</t>
  </si>
  <si>
    <t>Trinidad</t>
  </si>
  <si>
    <t>On April [XXX], 2025, Toyota received a call from the subject vehicle owner stating that The caller was involved in a single-vehicle accident while driving their Toyota Prius on Highway [XXX] near Trinidad, California. It was raining heavily and the lane assist system nudged the vehicle, causing it to hydroplane and spin off the road. The vehicle sustained damage and was towed from the scene. The caller wanted to report the incident to Toyota in case it was an issue with the lane assist system that could affect other drivers. The caller also stated that the cruise control was not engaged at the time of the incident. Based on the customer statement that cruise control was not involved, this allegation was judged not SGO reportable at that time. Toyota initiated an inspection of the subject vehicle based on the customer allegations. _x000D_
On June 3, 2025, Toyota completed review of a field report of the investigation of the subject vehicle, which included EDR, Vehicle Control History (VCH) and PCS Freeze Frame Data (PCS FFD). The VCH and PCS Freeze Frame Data (PCS FFD) indicated that ADAS L2 was engaged in the recorded moments prior to the crash. The PCS FFD recording contains approximately 8 seconds of pre-crash data and images. From the PCS FFD, Toyota observed the following: Dynamic Radar Cruise Control (DRCC) and Lane Trace Assist (LTA) were engaged from the start of the recording until 3.1 seconds prior to the collision. At this time, these systems were disabled when the brake switch turned on. The vehicle was traveling approximately 71mph leading up to the collision. The steering angle varied from -4.5 deg at the beginning of the recording to 48 deg at 1.8 sec prior to the crash, after which the images show the subject vehicle veering off the right side of the roadway.</t>
  </si>
  <si>
    <t>1306-11630-v1</t>
  </si>
  <si>
    <t>1306-11630</t>
  </si>
  <si>
    <t>875421a2d143bc4</t>
  </si>
  <si>
    <t>Tacoma</t>
  </si>
  <si>
    <t>485aa415245e032</t>
  </si>
  <si>
    <t>On September [XXX], 2025, Toyota received an initial contact from the owner and driver of a vehicle involved in the crash. The driver described that "lane assist"" was engaged leading up to the crash event</t>
  </si>
  <si>
    <t>Column1</t>
  </si>
  <si>
    <t>Mini</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</si>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</sst>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4B1611A-B2E3-4DB5-B0C0-9329B11500EB}" autoFormatId="16" applyNumberFormats="0" applyBorderFormats="0" applyFontFormats="0" applyPatternFormats="0" applyAlignmentFormats="0" applyWidthHeightFormats="0">
  <queryTableRefresh nextId="41">
    <queryTableFields count="34">
      <queryTableField id="1" name="record_id" tableColumnId="1"/>
      <queryTableField id="2" name="report_id" tableColumnId="2"/>
      <queryTableField id="3" name="report_version" tableColumnId="3"/>
      <queryTableField id="5" name="schema_period" tableColumnId="5"/>
      <queryTableField id="6" name="automation_category" tableColumnId="6"/>
      <queryTableField id="7" name="reporting_entity" tableColumnId="7"/>
      <queryTableField id="8" name="report_type" tableColumnId="8"/>
      <queryTableField id="9" name="report_submission_date" tableColumnId="9"/>
      <queryTableField id="10" name="same_vehicle_id" tableColumnId="10"/>
      <queryTableField id="11" dataBound="0" tableColumnId="11"/>
      <queryTableField id="12" name="model" tableColumnId="12"/>
      <queryTableField id="13" name="model_year" tableColumnId="13"/>
      <queryTableField id="14" name="automation_system_engaged" tableColumnId="14"/>
      <queryTableField id="15" name="engagement_status" tableColumnId="15"/>
      <queryTableField id="16" name="incident_date" tableColumnId="16"/>
      <queryTableField id="17" name="incident_year" tableColumnId="17"/>
      <queryTableField id="18" name="incident_month" tableColumnId="18"/>
      <queryTableField id="19" name="same_incident_id" tableColumnId="19"/>
      <queryTableField id="20" name="latitude" tableColumnId="20"/>
      <queryTableField id="21" name="longitude" tableColumnId="21"/>
      <queryTableField id="22" name="city" tableColumnId="22"/>
      <queryTableField id="23" name="state" tableColumnId="23"/>
      <queryTableField id="24" name="roadway_type" tableColumnId="24"/>
      <queryTableField id="25" name="crash_with" tableColumnId="25"/>
      <queryTableField id="40" dataBound="0" tableColumnId="40"/>
      <queryTableField id="26" name="highest_injury_severity_alleged" tableColumnId="26"/>
      <queryTableField id="27" name="is_fatal" tableColumnId="27"/>
      <queryTableField id="28" name="has_injury" tableColumnId="28"/>
      <queryTableField id="29" name="has_hospitalization" tableColumnId="29"/>
      <queryTableField id="30" name="vulnerable_road_user_involved" tableColumnId="30"/>
      <queryTableField id="31" name="airbag_deployed" tableColumnId="31"/>
      <queryTableField id="32" name="vehicle_towed" tableColumnId="32"/>
      <queryTableField id="33" name="police_report_available" tableColumnId="33"/>
      <queryTableField id="34" name="narrative" tableColumnId="34"/>
    </queryTableFields>
    <queryTableDeletedFields count="3">
      <deletedField name="source_file"/>
      <deletedField name="make"/>
      <deletedField name="is_latest_report_versio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E27984-0B1D-4D83-B7AD-4B4B98386D4A}" name="automated_driving_report_history_cleaned" displayName="automated_driving_report_history_cleaned" ref="A1:AH116" tableType="queryTable" totalsRowShown="0">
  <autoFilter ref="A1:AH116" xr:uid="{59E27984-0B1D-4D83-B7AD-4B4B98386D4A}"/>
  <tableColumns count="34">
    <tableColumn id="1" xr3:uid="{B1A9828D-EAF6-47CB-BC99-2807933CC854}" uniqueName="1" name="record_id" queryTableFieldId="1" dataDxfId="23"/>
    <tableColumn id="2" xr3:uid="{BB0EB0BF-EBE3-48DA-8ACD-2EF7EDF4C230}" uniqueName="2" name="report_id" queryTableFieldId="2" dataDxfId="22"/>
    <tableColumn id="3" xr3:uid="{9E376EF5-9D8E-4F11-96BF-064FF615A5B5}" uniqueName="3" name="report_version" queryTableFieldId="3"/>
    <tableColumn id="5" xr3:uid="{3412FA34-ED82-4D3F-A107-13BA312EC070}" uniqueName="5" name="schema_period" queryTableFieldId="5" dataDxfId="21"/>
    <tableColumn id="6" xr3:uid="{E2E646D0-15A0-4456-BD28-5C4150D3AC32}" uniqueName="6" name="automation_category" queryTableFieldId="6" dataDxfId="20"/>
    <tableColumn id="7" xr3:uid="{5BB11CE9-1E04-415F-82DC-17327FD1C9C5}" uniqueName="7" name="reporting_entity" queryTableFieldId="7" dataDxfId="19"/>
    <tableColumn id="8" xr3:uid="{9861436A-A0BC-4C2F-8AF7-43E17E4274D1}" uniqueName="8" name="report_type" queryTableFieldId="8" dataDxfId="18"/>
    <tableColumn id="9" xr3:uid="{3D068F90-EB53-4F74-A95C-1AD54410BACE}" uniqueName="9" name="report_submission_date" queryTableFieldId="9" dataDxfId="17"/>
    <tableColumn id="10" xr3:uid="{3C0224F8-FD17-4977-AAEA-D7F6B85228B6}" uniqueName="10" name="same_vehicle_id" queryTableFieldId="10" dataDxfId="16"/>
    <tableColumn id="11" xr3:uid="{6186F7B4-BCE1-4273-B800-645F2137AE50}" uniqueName="11" name="make" queryTableFieldId="11" dataDxfId="15"/>
    <tableColumn id="12" xr3:uid="{588F655C-7D1B-4B73-9AE3-9C9C5D333DF6}" uniqueName="12" name="model" queryTableFieldId="12" dataDxfId="3"/>
    <tableColumn id="13" xr3:uid="{C6A30522-8253-482F-9918-A8B208B0C9BE}" uniqueName="13" name="model_year" queryTableFieldId="13" dataDxfId="1"/>
    <tableColumn id="14" xr3:uid="{4333363A-F1BB-48FE-8925-8F22FE896FAB}" uniqueName="14" name="automation_system_engaged" queryTableFieldId="14" dataDxfId="2"/>
    <tableColumn id="15" xr3:uid="{010DC631-9C6E-481A-BEB8-73DE3C5288C6}" uniqueName="15" name="engagement_status" queryTableFieldId="15" dataDxfId="14"/>
    <tableColumn id="16" xr3:uid="{71A2C575-6C7F-4BFE-86B9-AB2B19AC285A}" uniqueName="16" name="incident_date" queryTableFieldId="16" dataDxfId="13"/>
    <tableColumn id="17" xr3:uid="{C8349909-4F03-4C14-9A01-EF693884E698}" uniqueName="17" name="incident_year" queryTableFieldId="17"/>
    <tableColumn id="18" xr3:uid="{2BDC2FD7-FBFE-4EB2-A6C9-773E6BB179B6}" uniqueName="18" name="incident_month" queryTableFieldId="18"/>
    <tableColumn id="19" xr3:uid="{B2B1C92F-AB9D-45EE-8861-75817564AD67}" uniqueName="19" name="same_incident_id" queryTableFieldId="19" dataDxfId="12"/>
    <tableColumn id="20" xr3:uid="{D23B44D4-89FC-4365-A043-A1DDB724130F}" uniqueName="20" name="latitude" queryTableFieldId="20" dataDxfId="11"/>
    <tableColumn id="21" xr3:uid="{2F116F4F-A144-4BC4-8DFB-96C413416D82}" uniqueName="21" name="longitude" queryTableFieldId="21" dataDxfId="10"/>
    <tableColumn id="22" xr3:uid="{9D5E4B54-C54F-4EF0-983E-FC864333C0AA}" uniqueName="22" name="city" queryTableFieldId="22" dataDxfId="9"/>
    <tableColumn id="23" xr3:uid="{22720A1F-5D12-4EF2-A0E0-647A9DB054F4}" uniqueName="23" name="state" queryTableFieldId="23" dataDxfId="8"/>
    <tableColumn id="24" xr3:uid="{A11C9890-5FA1-44C3-9DF7-4B8A10BB4EC3}" uniqueName="24" name="roadway_type" queryTableFieldId="24" dataDxfId="7"/>
    <tableColumn id="25" xr3:uid="{950E3087-E28E-4A5F-A2B5-208863D12996}" uniqueName="25" name="crash_with" queryTableFieldId="25" dataDxfId="6"/>
    <tableColumn id="40" xr3:uid="{9137A42D-0531-43A6-950C-8AF2B058E6F6}" uniqueName="40" name="Column1" queryTableFieldId="40" dataDxfId="0"/>
    <tableColumn id="26" xr3:uid="{F7906046-75D8-4E56-8FFD-53DF3CE3BEEE}" uniqueName="26" name="highest_injury_severity_alleged" queryTableFieldId="26" dataDxfId="5"/>
    <tableColumn id="27" xr3:uid="{04518F85-02CD-4B46-946A-9E7C4C45A8D2}" uniqueName="27" name="is_fatal" queryTableFieldId="27"/>
    <tableColumn id="28" xr3:uid="{25283B63-D042-41EF-87FC-870CE2EE5FD6}" uniqueName="28" name="has_injury" queryTableFieldId="28"/>
    <tableColumn id="29" xr3:uid="{2366C1C3-E2D5-4B9D-BEE9-D989DCC934E9}" uniqueName="29" name="has_hospitalization" queryTableFieldId="29"/>
    <tableColumn id="30" xr3:uid="{F4B34A8F-212F-4A8E-833B-38C6CA16E390}" uniqueName="30" name="vulnerable_road_user_involved" queryTableFieldId="30"/>
    <tableColumn id="31" xr3:uid="{655CCF68-9F9D-4CFF-A2A9-F9B010575A99}" uniqueName="31" name="airbag_deployed" queryTableFieldId="31"/>
    <tableColumn id="32" xr3:uid="{E159AE38-F536-44B8-8A4E-D3612A856E08}" uniqueName="32" name="vehicle_towed" queryTableFieldId="32"/>
    <tableColumn id="33" xr3:uid="{E36BD361-9A69-41B3-8BB2-531D0E84F4BE}" uniqueName="33" name="police_report_available" queryTableFieldId="33"/>
    <tableColumn id="34" xr3:uid="{BE1F029C-34B6-460E-8414-74E7C1358D86}" uniqueName="34" name="narrative" queryTableFieldId="34" dataDxfId="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62C7F-5742-4E9C-B8B0-800AE8BB7B2C}">
  <dimension ref="A1:AH116"/>
  <sheetViews>
    <sheetView tabSelected="1" topLeftCell="S1" workbookViewId="0">
      <selection activeCell="Y19" sqref="Y19"/>
    </sheetView>
  </sheetViews>
  <sheetFormatPr defaultRowHeight="15" x14ac:dyDescent="0.25"/>
  <cols>
    <col min="1" max="1" width="14.5703125" bestFit="1" customWidth="1"/>
    <col min="2" max="2" width="11.7109375" bestFit="1" customWidth="1"/>
    <col min="3" max="3" width="16.5703125" bestFit="1" customWidth="1"/>
    <col min="4" max="4" width="27.42578125" bestFit="1" customWidth="1"/>
    <col min="5" max="5" width="22.42578125" bestFit="1" customWidth="1"/>
    <col min="6" max="6" width="40" bestFit="1" customWidth="1"/>
    <col min="7" max="7" width="14" bestFit="1" customWidth="1"/>
    <col min="8" max="8" width="25.28515625" bestFit="1" customWidth="1"/>
    <col min="9" max="9" width="18.28515625" bestFit="1" customWidth="1"/>
    <col min="10" max="10" width="20.5703125" customWidth="1"/>
    <col min="11" max="11" width="21.5703125" bestFit="1" customWidth="1"/>
    <col min="12" max="12" width="13.85546875" bestFit="1" customWidth="1"/>
    <col min="13" max="13" width="30" bestFit="1" customWidth="1"/>
    <col min="14" max="14" width="23.28515625" bestFit="1" customWidth="1"/>
    <col min="15" max="15" width="15.7109375" bestFit="1" customWidth="1"/>
    <col min="16" max="16" width="15.5703125" bestFit="1" customWidth="1"/>
    <col min="17" max="17" width="17.5703125" bestFit="1" customWidth="1"/>
    <col min="18" max="18" width="19.140625" bestFit="1" customWidth="1"/>
    <col min="19" max="19" width="10.28515625" bestFit="1" customWidth="1"/>
    <col min="20" max="20" width="11.85546875" bestFit="1" customWidth="1"/>
    <col min="21" max="21" width="20.42578125" bestFit="1" customWidth="1"/>
    <col min="22" max="22" width="7.7109375" bestFit="1" customWidth="1"/>
    <col min="23" max="23" width="18.140625" bestFit="1" customWidth="1"/>
    <col min="24" max="24" width="22.42578125" bestFit="1" customWidth="1"/>
    <col min="25" max="25" width="22.42578125" customWidth="1"/>
    <col min="26" max="26" width="36.28515625" bestFit="1" customWidth="1"/>
    <col min="27" max="27" width="9.7109375" bestFit="1" customWidth="1"/>
    <col min="28" max="28" width="12.42578125" bestFit="1" customWidth="1"/>
    <col min="29" max="29" width="20.7109375" bestFit="1" customWidth="1"/>
    <col min="30" max="30" width="32.140625" bestFit="1" customWidth="1"/>
    <col min="31" max="31" width="18.28515625" bestFit="1" customWidth="1"/>
    <col min="32" max="32" width="16.5703125" bestFit="1" customWidth="1"/>
    <col min="33" max="33" width="24.7109375" bestFit="1" customWidth="1"/>
    <col min="34" max="34" width="81.140625" bestFit="1" customWidth="1"/>
  </cols>
  <sheetData>
    <row r="1" spans="1:34" x14ac:dyDescent="0.25">
      <c r="A1" t="s">
        <v>0</v>
      </c>
      <c r="B1" t="s">
        <v>1</v>
      </c>
      <c r="C1" t="s">
        <v>2</v>
      </c>
      <c r="D1" t="s">
        <v>3</v>
      </c>
      <c r="E1" t="s">
        <v>4</v>
      </c>
      <c r="F1" t="s">
        <v>5</v>
      </c>
      <c r="G1" t="s">
        <v>6</v>
      </c>
      <c r="H1" t="s">
        <v>7</v>
      </c>
      <c r="I1" t="s">
        <v>8</v>
      </c>
      <c r="J1" t="s">
        <v>9</v>
      </c>
      <c r="K1" t="s">
        <v>10</v>
      </c>
      <c r="L1" s="1" t="s">
        <v>11</v>
      </c>
      <c r="M1" t="s">
        <v>12</v>
      </c>
      <c r="N1" t="s">
        <v>13</v>
      </c>
      <c r="O1" t="s">
        <v>14</v>
      </c>
      <c r="P1" t="s">
        <v>15</v>
      </c>
      <c r="Q1" t="s">
        <v>16</v>
      </c>
      <c r="R1" t="s">
        <v>17</v>
      </c>
      <c r="S1" t="s">
        <v>18</v>
      </c>
      <c r="T1" t="s">
        <v>19</v>
      </c>
      <c r="U1" t="s">
        <v>20</v>
      </c>
      <c r="V1" t="s">
        <v>21</v>
      </c>
      <c r="W1" t="s">
        <v>22</v>
      </c>
      <c r="X1" t="s">
        <v>23</v>
      </c>
      <c r="Y1" t="s">
        <v>793</v>
      </c>
      <c r="Z1" t="s">
        <v>24</v>
      </c>
      <c r="AA1" t="s">
        <v>25</v>
      </c>
      <c r="AB1" t="s">
        <v>26</v>
      </c>
      <c r="AC1" t="s">
        <v>27</v>
      </c>
      <c r="AD1" t="s">
        <v>28</v>
      </c>
      <c r="AE1" t="s">
        <v>29</v>
      </c>
      <c r="AF1" t="s">
        <v>30</v>
      </c>
      <c r="AG1" t="s">
        <v>31</v>
      </c>
      <c r="AH1" t="s">
        <v>32</v>
      </c>
    </row>
    <row r="2" spans="1:34" x14ac:dyDescent="0.25">
      <c r="A2" s="1" t="s">
        <v>190</v>
      </c>
      <c r="B2" s="1" t="s">
        <v>191</v>
      </c>
      <c r="C2">
        <v>5</v>
      </c>
      <c r="D2" s="1" t="s">
        <v>35</v>
      </c>
      <c r="E2" s="1" t="s">
        <v>36</v>
      </c>
      <c r="F2" s="1" t="s">
        <v>85</v>
      </c>
      <c r="G2" s="1" t="s">
        <v>38</v>
      </c>
      <c r="H2" s="2">
        <v>45047</v>
      </c>
      <c r="I2" s="1" t="s">
        <v>192</v>
      </c>
      <c r="J2" s="1" t="s">
        <v>87</v>
      </c>
      <c r="K2" s="1" t="s">
        <v>193</v>
      </c>
      <c r="L2" s="1">
        <v>2020</v>
      </c>
      <c r="M2" s="1" t="s">
        <v>36</v>
      </c>
      <c r="N2" s="1" t="s">
        <v>43</v>
      </c>
      <c r="O2" s="2">
        <v>44958</v>
      </c>
      <c r="P2">
        <v>2023</v>
      </c>
      <c r="Q2">
        <v>2</v>
      </c>
      <c r="R2" s="1" t="s">
        <v>194</v>
      </c>
      <c r="S2" s="1" t="s">
        <v>43</v>
      </c>
      <c r="T2" s="1" t="s">
        <v>43</v>
      </c>
      <c r="U2" s="1" t="s">
        <v>195</v>
      </c>
      <c r="V2" s="1" t="s">
        <v>196</v>
      </c>
      <c r="W2" s="1" t="s">
        <v>64</v>
      </c>
      <c r="X2" s="1" t="s">
        <v>74</v>
      </c>
      <c r="Y2" s="1"/>
      <c r="Z2" s="1" t="s">
        <v>65</v>
      </c>
      <c r="AA2" t="b">
        <v>0</v>
      </c>
      <c r="AB2" t="b">
        <v>0</v>
      </c>
      <c r="AC2" t="b">
        <v>0</v>
      </c>
      <c r="AD2" t="b">
        <v>0</v>
      </c>
      <c r="AE2" t="b">
        <v>0</v>
      </c>
      <c r="AF2" t="b">
        <v>0</v>
      </c>
      <c r="AG2" t="b">
        <v>0</v>
      </c>
      <c r="AH2" s="1" t="s">
        <v>93</v>
      </c>
    </row>
    <row r="3" spans="1:34" x14ac:dyDescent="0.25">
      <c r="A3" s="1" t="s">
        <v>175</v>
      </c>
      <c r="B3" s="1" t="s">
        <v>176</v>
      </c>
      <c r="C3">
        <v>3</v>
      </c>
      <c r="D3" s="1" t="s">
        <v>35</v>
      </c>
      <c r="E3" s="1" t="s">
        <v>36</v>
      </c>
      <c r="F3" s="1" t="s">
        <v>85</v>
      </c>
      <c r="G3" s="1" t="s">
        <v>177</v>
      </c>
      <c r="H3" s="2">
        <v>44835</v>
      </c>
      <c r="I3" s="1" t="s">
        <v>178</v>
      </c>
      <c r="J3" s="1" t="s">
        <v>87</v>
      </c>
      <c r="K3" s="1" t="s">
        <v>179</v>
      </c>
      <c r="L3" s="1">
        <v>2020</v>
      </c>
      <c r="M3" s="1" t="s">
        <v>36</v>
      </c>
      <c r="N3" s="1" t="s">
        <v>43</v>
      </c>
      <c r="O3" s="2">
        <v>44682</v>
      </c>
      <c r="P3">
        <v>2022</v>
      </c>
      <c r="Q3">
        <v>5</v>
      </c>
      <c r="R3" s="1" t="s">
        <v>180</v>
      </c>
      <c r="S3" s="1" t="s">
        <v>43</v>
      </c>
      <c r="T3" s="1" t="s">
        <v>43</v>
      </c>
      <c r="U3" s="1" t="s">
        <v>181</v>
      </c>
      <c r="V3" s="1" t="s">
        <v>138</v>
      </c>
      <c r="W3" s="1" t="s">
        <v>64</v>
      </c>
      <c r="X3" s="1" t="s">
        <v>117</v>
      </c>
      <c r="Y3" s="1"/>
      <c r="Z3" s="1" t="s">
        <v>182</v>
      </c>
      <c r="AA3" t="b">
        <v>0</v>
      </c>
      <c r="AB3" t="b">
        <v>0</v>
      </c>
      <c r="AC3" t="b">
        <v>0</v>
      </c>
      <c r="AD3" t="b">
        <v>0</v>
      </c>
      <c r="AE3" t="b">
        <v>0</v>
      </c>
      <c r="AF3" t="b">
        <v>0</v>
      </c>
      <c r="AG3" t="b">
        <v>1</v>
      </c>
      <c r="AH3" s="1" t="s">
        <v>183</v>
      </c>
    </row>
    <row r="4" spans="1:34" x14ac:dyDescent="0.25">
      <c r="A4" s="1" t="s">
        <v>758</v>
      </c>
      <c r="B4" s="1" t="s">
        <v>759</v>
      </c>
      <c r="C4">
        <v>1</v>
      </c>
      <c r="D4" s="1" t="s">
        <v>35</v>
      </c>
      <c r="E4" s="1" t="s">
        <v>53</v>
      </c>
      <c r="F4" s="1" t="s">
        <v>751</v>
      </c>
      <c r="G4" s="1" t="s">
        <v>54</v>
      </c>
      <c r="H4" s="2">
        <v>44409</v>
      </c>
      <c r="I4" s="1" t="s">
        <v>760</v>
      </c>
      <c r="J4" s="1" t="s">
        <v>761</v>
      </c>
      <c r="K4" s="1" t="s">
        <v>762</v>
      </c>
      <c r="L4" s="1">
        <v>2020</v>
      </c>
      <c r="M4" s="1" t="s">
        <v>53</v>
      </c>
      <c r="N4" s="1" t="s">
        <v>43</v>
      </c>
      <c r="O4" s="2">
        <v>44378</v>
      </c>
      <c r="P4">
        <v>2021</v>
      </c>
      <c r="Q4">
        <v>7</v>
      </c>
      <c r="R4" s="1" t="s">
        <v>763</v>
      </c>
      <c r="S4" s="1" t="s">
        <v>43</v>
      </c>
      <c r="T4" s="1" t="s">
        <v>43</v>
      </c>
      <c r="U4" s="1" t="s">
        <v>764</v>
      </c>
      <c r="V4" s="1" t="s">
        <v>370</v>
      </c>
      <c r="W4" s="1" t="s">
        <v>47</v>
      </c>
      <c r="X4" s="1" t="s">
        <v>264</v>
      </c>
      <c r="Y4" s="1"/>
      <c r="Z4" s="1" t="s">
        <v>65</v>
      </c>
      <c r="AA4" t="b">
        <v>0</v>
      </c>
      <c r="AB4" t="b">
        <v>0</v>
      </c>
      <c r="AC4" t="b">
        <v>0</v>
      </c>
      <c r="AD4" t="b">
        <v>0</v>
      </c>
      <c r="AE4" t="b">
        <v>0</v>
      </c>
      <c r="AF4" t="b">
        <v>0</v>
      </c>
      <c r="AG4" t="b">
        <v>1</v>
      </c>
      <c r="AH4" s="1" t="s">
        <v>765</v>
      </c>
    </row>
    <row r="5" spans="1:34" x14ac:dyDescent="0.25">
      <c r="A5" s="1" t="s">
        <v>530</v>
      </c>
      <c r="B5" s="1" t="s">
        <v>531</v>
      </c>
      <c r="C5">
        <v>3</v>
      </c>
      <c r="D5" s="1" t="s">
        <v>35</v>
      </c>
      <c r="E5" s="1" t="s">
        <v>36</v>
      </c>
      <c r="F5" s="1" t="s">
        <v>395</v>
      </c>
      <c r="G5" s="1" t="s">
        <v>38</v>
      </c>
      <c r="H5" s="2">
        <v>44501</v>
      </c>
      <c r="I5" s="1" t="s">
        <v>532</v>
      </c>
      <c r="J5" s="1" t="s">
        <v>397</v>
      </c>
      <c r="K5" s="1" t="s">
        <v>398</v>
      </c>
      <c r="L5" s="1">
        <v>2020</v>
      </c>
      <c r="M5" s="1" t="s">
        <v>36</v>
      </c>
      <c r="N5" s="1" t="s">
        <v>43</v>
      </c>
      <c r="O5" s="2">
        <v>44470</v>
      </c>
      <c r="P5">
        <v>2021</v>
      </c>
      <c r="Q5">
        <v>10</v>
      </c>
      <c r="R5" s="1" t="s">
        <v>533</v>
      </c>
      <c r="S5" s="1" t="s">
        <v>43</v>
      </c>
      <c r="T5" s="1" t="s">
        <v>43</v>
      </c>
      <c r="U5" s="1" t="s">
        <v>534</v>
      </c>
      <c r="V5" s="1" t="s">
        <v>535</v>
      </c>
      <c r="W5" s="1" t="s">
        <v>49</v>
      </c>
      <c r="X5" s="1" t="s">
        <v>117</v>
      </c>
      <c r="Y5" s="1"/>
      <c r="Z5" s="1" t="s">
        <v>92</v>
      </c>
      <c r="AA5" t="b">
        <v>0</v>
      </c>
      <c r="AB5" t="b">
        <v>0</v>
      </c>
      <c r="AC5" t="b">
        <v>0</v>
      </c>
      <c r="AD5" t="b">
        <v>0</v>
      </c>
      <c r="AE5" t="b">
        <v>0</v>
      </c>
      <c r="AF5" t="b">
        <v>0</v>
      </c>
      <c r="AG5" t="b">
        <v>0</v>
      </c>
      <c r="AH5" s="1" t="s">
        <v>93</v>
      </c>
    </row>
    <row r="6" spans="1:34" x14ac:dyDescent="0.25">
      <c r="A6" s="1" t="s">
        <v>547</v>
      </c>
      <c r="B6" s="1" t="s">
        <v>548</v>
      </c>
      <c r="C6">
        <v>3</v>
      </c>
      <c r="D6" s="1" t="s">
        <v>35</v>
      </c>
      <c r="E6" s="1" t="s">
        <v>36</v>
      </c>
      <c r="F6" s="1" t="s">
        <v>395</v>
      </c>
      <c r="G6" s="1" t="s">
        <v>38</v>
      </c>
      <c r="H6" s="2">
        <v>44593</v>
      </c>
      <c r="I6" s="1" t="s">
        <v>549</v>
      </c>
      <c r="J6" s="1" t="s">
        <v>397</v>
      </c>
      <c r="K6" s="1" t="s">
        <v>398</v>
      </c>
      <c r="L6" s="1">
        <v>2020</v>
      </c>
      <c r="M6" s="1" t="s">
        <v>36</v>
      </c>
      <c r="N6" s="1" t="s">
        <v>43</v>
      </c>
      <c r="O6" s="2">
        <v>44531</v>
      </c>
      <c r="P6">
        <v>2021</v>
      </c>
      <c r="Q6">
        <v>12</v>
      </c>
      <c r="R6" s="1" t="s">
        <v>550</v>
      </c>
      <c r="S6" s="1" t="s">
        <v>43</v>
      </c>
      <c r="T6" s="1" t="s">
        <v>43</v>
      </c>
      <c r="U6" s="1" t="s">
        <v>551</v>
      </c>
      <c r="V6" s="1" t="s">
        <v>552</v>
      </c>
      <c r="W6" s="1" t="s">
        <v>64</v>
      </c>
      <c r="X6" s="1" t="s">
        <v>384</v>
      </c>
      <c r="Y6" s="1"/>
      <c r="Z6" s="1" t="s">
        <v>65</v>
      </c>
      <c r="AA6" t="b">
        <v>0</v>
      </c>
      <c r="AB6" t="b">
        <v>0</v>
      </c>
      <c r="AC6" t="b">
        <v>0</v>
      </c>
      <c r="AD6" t="b">
        <v>0</v>
      </c>
      <c r="AE6" t="b">
        <v>0</v>
      </c>
      <c r="AF6" t="b">
        <v>0</v>
      </c>
      <c r="AG6" t="b">
        <v>0</v>
      </c>
      <c r="AH6" s="1" t="s">
        <v>93</v>
      </c>
    </row>
    <row r="7" spans="1:34" x14ac:dyDescent="0.25">
      <c r="A7" s="1" t="s">
        <v>553</v>
      </c>
      <c r="B7" s="1" t="s">
        <v>554</v>
      </c>
      <c r="C7">
        <v>3</v>
      </c>
      <c r="D7" s="1" t="s">
        <v>35</v>
      </c>
      <c r="E7" s="1" t="s">
        <v>36</v>
      </c>
      <c r="F7" s="1" t="s">
        <v>395</v>
      </c>
      <c r="G7" s="1" t="s">
        <v>38</v>
      </c>
      <c r="H7" s="2">
        <v>44593</v>
      </c>
      <c r="I7" s="1" t="s">
        <v>555</v>
      </c>
      <c r="J7" s="1" t="s">
        <v>397</v>
      </c>
      <c r="K7" s="1" t="s">
        <v>398</v>
      </c>
      <c r="L7" s="1">
        <v>2020</v>
      </c>
      <c r="M7" s="1" t="s">
        <v>36</v>
      </c>
      <c r="N7" s="1" t="s">
        <v>43</v>
      </c>
      <c r="O7" s="2">
        <v>44501</v>
      </c>
      <c r="P7">
        <v>2021</v>
      </c>
      <c r="Q7">
        <v>11</v>
      </c>
      <c r="R7" s="1" t="s">
        <v>556</v>
      </c>
      <c r="S7" s="1" t="s">
        <v>43</v>
      </c>
      <c r="T7" s="1" t="s">
        <v>43</v>
      </c>
      <c r="U7" s="1" t="s">
        <v>557</v>
      </c>
      <c r="V7" s="1" t="s">
        <v>391</v>
      </c>
      <c r="W7" s="1" t="s">
        <v>64</v>
      </c>
      <c r="X7" s="1" t="s">
        <v>384</v>
      </c>
      <c r="Y7" s="1"/>
      <c r="Z7" s="1" t="s">
        <v>65</v>
      </c>
      <c r="AA7" t="b">
        <v>0</v>
      </c>
      <c r="AB7" t="b">
        <v>0</v>
      </c>
      <c r="AC7" t="b">
        <v>0</v>
      </c>
      <c r="AD7" t="b">
        <v>0</v>
      </c>
      <c r="AE7" t="b">
        <v>0</v>
      </c>
      <c r="AF7" t="b">
        <v>0</v>
      </c>
      <c r="AG7" t="b">
        <v>1</v>
      </c>
      <c r="AH7" s="1" t="s">
        <v>93</v>
      </c>
    </row>
    <row r="8" spans="1:34" x14ac:dyDescent="0.25">
      <c r="A8" s="1" t="s">
        <v>568</v>
      </c>
      <c r="B8" s="1" t="s">
        <v>569</v>
      </c>
      <c r="C8">
        <v>4</v>
      </c>
      <c r="D8" s="1" t="s">
        <v>35</v>
      </c>
      <c r="E8" s="1" t="s">
        <v>36</v>
      </c>
      <c r="F8" s="1" t="s">
        <v>395</v>
      </c>
      <c r="G8" s="1" t="s">
        <v>38</v>
      </c>
      <c r="H8" s="2">
        <v>44835</v>
      </c>
      <c r="I8" s="1" t="s">
        <v>570</v>
      </c>
      <c r="J8" s="1" t="s">
        <v>397</v>
      </c>
      <c r="K8" s="1" t="s">
        <v>398</v>
      </c>
      <c r="L8" s="1">
        <v>2020</v>
      </c>
      <c r="M8" s="1" t="s">
        <v>36</v>
      </c>
      <c r="N8" s="1" t="s">
        <v>43</v>
      </c>
      <c r="O8" s="2">
        <v>44743</v>
      </c>
      <c r="P8">
        <v>2022</v>
      </c>
      <c r="Q8">
        <v>7</v>
      </c>
      <c r="R8" s="1" t="s">
        <v>571</v>
      </c>
      <c r="S8" s="1" t="s">
        <v>43</v>
      </c>
      <c r="T8" s="1" t="s">
        <v>43</v>
      </c>
      <c r="U8" s="1" t="s">
        <v>572</v>
      </c>
      <c r="V8" s="1" t="s">
        <v>173</v>
      </c>
      <c r="W8" s="1" t="s">
        <v>64</v>
      </c>
      <c r="X8" s="1" t="s">
        <v>48</v>
      </c>
      <c r="Y8" s="1"/>
      <c r="Z8" s="1" t="s">
        <v>65</v>
      </c>
      <c r="AA8" t="b">
        <v>0</v>
      </c>
      <c r="AB8" t="b">
        <v>0</v>
      </c>
      <c r="AC8" t="b">
        <v>0</v>
      </c>
      <c r="AD8" t="b">
        <v>0</v>
      </c>
      <c r="AE8" t="b">
        <v>0</v>
      </c>
      <c r="AF8" t="b">
        <v>0</v>
      </c>
      <c r="AG8" t="b">
        <v>1</v>
      </c>
      <c r="AH8" s="1" t="s">
        <v>573</v>
      </c>
    </row>
    <row r="9" spans="1:34" x14ac:dyDescent="0.25">
      <c r="A9" s="1" t="s">
        <v>574</v>
      </c>
      <c r="B9" s="1" t="s">
        <v>575</v>
      </c>
      <c r="C9">
        <v>4</v>
      </c>
      <c r="D9" s="1" t="s">
        <v>35</v>
      </c>
      <c r="E9" s="1" t="s">
        <v>36</v>
      </c>
      <c r="F9" s="1" t="s">
        <v>395</v>
      </c>
      <c r="G9" s="1" t="s">
        <v>38</v>
      </c>
      <c r="H9" s="2">
        <v>44440</v>
      </c>
      <c r="I9" s="1" t="s">
        <v>576</v>
      </c>
      <c r="J9" s="1" t="s">
        <v>397</v>
      </c>
      <c r="K9" s="1" t="s">
        <v>398</v>
      </c>
      <c r="L9" s="1">
        <v>2020</v>
      </c>
      <c r="M9" s="1" t="s">
        <v>36</v>
      </c>
      <c r="N9" s="1" t="s">
        <v>43</v>
      </c>
      <c r="O9" s="2">
        <v>44378</v>
      </c>
      <c r="P9">
        <v>2021</v>
      </c>
      <c r="Q9">
        <v>7</v>
      </c>
      <c r="R9" s="1" t="s">
        <v>577</v>
      </c>
      <c r="S9" s="1" t="s">
        <v>43</v>
      </c>
      <c r="T9" s="1" t="s">
        <v>43</v>
      </c>
      <c r="U9" s="1" t="s">
        <v>578</v>
      </c>
      <c r="V9" s="1" t="s">
        <v>173</v>
      </c>
      <c r="W9" s="1" t="s">
        <v>64</v>
      </c>
      <c r="X9" s="1" t="s">
        <v>384</v>
      </c>
      <c r="Y9" s="1"/>
      <c r="Z9" s="1" t="s">
        <v>92</v>
      </c>
      <c r="AA9" t="b">
        <v>0</v>
      </c>
      <c r="AB9" t="b">
        <v>0</v>
      </c>
      <c r="AC9" t="b">
        <v>0</v>
      </c>
      <c r="AD9" t="b">
        <v>0</v>
      </c>
      <c r="AE9" t="b">
        <v>0</v>
      </c>
      <c r="AF9" t="b">
        <v>0</v>
      </c>
      <c r="AG9" t="b">
        <v>1</v>
      </c>
      <c r="AH9" s="1" t="s">
        <v>93</v>
      </c>
    </row>
    <row r="10" spans="1:34" x14ac:dyDescent="0.25">
      <c r="A10" s="1" t="s">
        <v>591</v>
      </c>
      <c r="B10" s="1" t="s">
        <v>592</v>
      </c>
      <c r="C10">
        <v>3</v>
      </c>
      <c r="D10" s="1" t="s">
        <v>35</v>
      </c>
      <c r="E10" s="1" t="s">
        <v>36</v>
      </c>
      <c r="F10" s="1" t="s">
        <v>395</v>
      </c>
      <c r="G10" s="1" t="s">
        <v>38</v>
      </c>
      <c r="H10" s="2">
        <v>44927</v>
      </c>
      <c r="I10" s="1" t="s">
        <v>593</v>
      </c>
      <c r="J10" s="1" t="s">
        <v>397</v>
      </c>
      <c r="K10" s="1" t="s">
        <v>398</v>
      </c>
      <c r="L10" s="1">
        <v>2020</v>
      </c>
      <c r="M10" s="1" t="s">
        <v>36</v>
      </c>
      <c r="N10" s="1" t="s">
        <v>43</v>
      </c>
      <c r="O10" s="2">
        <v>44866</v>
      </c>
      <c r="P10">
        <v>2022</v>
      </c>
      <c r="Q10">
        <v>11</v>
      </c>
      <c r="R10" s="1" t="s">
        <v>594</v>
      </c>
      <c r="S10" s="1" t="s">
        <v>43</v>
      </c>
      <c r="T10" s="1" t="s">
        <v>43</v>
      </c>
      <c r="U10" s="1" t="s">
        <v>595</v>
      </c>
      <c r="V10" s="1" t="s">
        <v>254</v>
      </c>
      <c r="W10" s="1" t="s">
        <v>64</v>
      </c>
      <c r="X10" s="1" t="s">
        <v>290</v>
      </c>
      <c r="Y10" s="1"/>
      <c r="Z10" s="1" t="s">
        <v>182</v>
      </c>
      <c r="AA10" t="b">
        <v>0</v>
      </c>
      <c r="AB10" t="b">
        <v>0</v>
      </c>
      <c r="AC10" t="b">
        <v>0</v>
      </c>
      <c r="AD10" t="b">
        <v>0</v>
      </c>
      <c r="AE10" t="b">
        <v>0</v>
      </c>
      <c r="AF10" t="b">
        <v>0</v>
      </c>
      <c r="AG10" t="b">
        <v>1</v>
      </c>
      <c r="AH10" s="1" t="s">
        <v>596</v>
      </c>
    </row>
    <row r="11" spans="1:34" x14ac:dyDescent="0.25">
      <c r="A11" s="1" t="s">
        <v>676</v>
      </c>
      <c r="B11" s="1" t="s">
        <v>677</v>
      </c>
      <c r="C11">
        <v>2</v>
      </c>
      <c r="D11" s="1" t="s">
        <v>35</v>
      </c>
      <c r="E11" s="1" t="s">
        <v>36</v>
      </c>
      <c r="F11" s="1" t="s">
        <v>395</v>
      </c>
      <c r="G11" s="1" t="s">
        <v>38</v>
      </c>
      <c r="H11" s="2">
        <v>45474</v>
      </c>
      <c r="I11" s="1" t="s">
        <v>678</v>
      </c>
      <c r="J11" s="1" t="s">
        <v>397</v>
      </c>
      <c r="K11" s="1" t="s">
        <v>398</v>
      </c>
      <c r="L11" s="1">
        <v>2020</v>
      </c>
      <c r="M11" s="1" t="s">
        <v>36</v>
      </c>
      <c r="N11" s="1" t="s">
        <v>43</v>
      </c>
      <c r="O11" s="2">
        <v>45444</v>
      </c>
      <c r="P11">
        <v>2024</v>
      </c>
      <c r="Q11">
        <v>6</v>
      </c>
      <c r="R11" s="1" t="s">
        <v>679</v>
      </c>
      <c r="S11" s="1" t="s">
        <v>43</v>
      </c>
      <c r="T11" s="1" t="s">
        <v>43</v>
      </c>
      <c r="U11" s="1" t="s">
        <v>298</v>
      </c>
      <c r="V11" s="1" t="s">
        <v>299</v>
      </c>
      <c r="W11" s="1" t="s">
        <v>64</v>
      </c>
      <c r="X11" s="1" t="s">
        <v>48</v>
      </c>
      <c r="Y11" s="1"/>
      <c r="Z11" s="1" t="s">
        <v>92</v>
      </c>
      <c r="AA11" t="b">
        <v>0</v>
      </c>
      <c r="AB11" t="b">
        <v>0</v>
      </c>
      <c r="AC11" t="b">
        <v>0</v>
      </c>
      <c r="AD11" t="b">
        <v>0</v>
      </c>
      <c r="AE11" t="b">
        <v>0</v>
      </c>
      <c r="AF11" t="b">
        <v>0</v>
      </c>
      <c r="AG11" t="b">
        <v>0</v>
      </c>
      <c r="AH11" s="1" t="s">
        <v>680</v>
      </c>
    </row>
    <row r="12" spans="1:34" x14ac:dyDescent="0.25">
      <c r="A12" s="1" t="s">
        <v>719</v>
      </c>
      <c r="B12" s="1" t="s">
        <v>720</v>
      </c>
      <c r="C12">
        <v>1</v>
      </c>
      <c r="D12" s="1" t="s">
        <v>35</v>
      </c>
      <c r="E12" s="1" t="s">
        <v>36</v>
      </c>
      <c r="F12" s="1" t="s">
        <v>395</v>
      </c>
      <c r="G12" s="1" t="s">
        <v>120</v>
      </c>
      <c r="H12" s="2">
        <v>45536</v>
      </c>
      <c r="I12" s="1" t="s">
        <v>721</v>
      </c>
      <c r="J12" s="1" t="s">
        <v>397</v>
      </c>
      <c r="K12" s="1" t="s">
        <v>398</v>
      </c>
      <c r="L12" s="1">
        <v>2020</v>
      </c>
      <c r="M12" s="1" t="s">
        <v>36</v>
      </c>
      <c r="N12" s="1" t="s">
        <v>43</v>
      </c>
      <c r="O12" s="2">
        <v>45536</v>
      </c>
      <c r="P12">
        <v>2024</v>
      </c>
      <c r="Q12">
        <v>9</v>
      </c>
      <c r="R12" s="1" t="s">
        <v>722</v>
      </c>
      <c r="S12" s="1" t="s">
        <v>43</v>
      </c>
      <c r="T12" s="1" t="s">
        <v>43</v>
      </c>
      <c r="U12" s="1" t="s">
        <v>723</v>
      </c>
      <c r="V12" s="1" t="s">
        <v>724</v>
      </c>
      <c r="W12" s="1" t="s">
        <v>64</v>
      </c>
      <c r="X12" s="1" t="s">
        <v>384</v>
      </c>
      <c r="Y12" s="1"/>
      <c r="Z12" s="1" t="s">
        <v>92</v>
      </c>
      <c r="AA12" t="b">
        <v>0</v>
      </c>
      <c r="AB12" t="b">
        <v>0</v>
      </c>
      <c r="AC12" t="b">
        <v>0</v>
      </c>
      <c r="AD12" t="b">
        <v>0</v>
      </c>
      <c r="AE12" t="b">
        <v>0</v>
      </c>
      <c r="AF12" t="b">
        <v>0</v>
      </c>
      <c r="AG12" t="b">
        <v>0</v>
      </c>
      <c r="AH12" s="1" t="s">
        <v>725</v>
      </c>
    </row>
    <row r="13" spans="1:34" x14ac:dyDescent="0.25">
      <c r="A13" s="1" t="s">
        <v>669</v>
      </c>
      <c r="B13" s="1" t="s">
        <v>670</v>
      </c>
      <c r="C13">
        <v>2</v>
      </c>
      <c r="D13" s="1" t="s">
        <v>35</v>
      </c>
      <c r="E13" s="1" t="s">
        <v>36</v>
      </c>
      <c r="F13" s="1" t="s">
        <v>395</v>
      </c>
      <c r="G13" s="1" t="s">
        <v>177</v>
      </c>
      <c r="H13" s="2">
        <v>45474</v>
      </c>
      <c r="I13" s="1" t="s">
        <v>671</v>
      </c>
      <c r="J13" s="1" t="s">
        <v>397</v>
      </c>
      <c r="K13" s="1" t="s">
        <v>672</v>
      </c>
      <c r="L13" s="1">
        <v>2020</v>
      </c>
      <c r="M13" s="1" t="s">
        <v>36</v>
      </c>
      <c r="N13" s="1" t="s">
        <v>43</v>
      </c>
      <c r="O13" s="2">
        <v>45200</v>
      </c>
      <c r="P13">
        <v>2023</v>
      </c>
      <c r="Q13">
        <v>10</v>
      </c>
      <c r="R13" s="1" t="s">
        <v>673</v>
      </c>
      <c r="S13" s="1" t="s">
        <v>43</v>
      </c>
      <c r="T13" s="1" t="s">
        <v>43</v>
      </c>
      <c r="U13" s="1" t="s">
        <v>674</v>
      </c>
      <c r="V13" s="1" t="s">
        <v>81</v>
      </c>
      <c r="W13" s="1" t="s">
        <v>64</v>
      </c>
      <c r="X13" s="1" t="s">
        <v>147</v>
      </c>
      <c r="Y13" s="1"/>
      <c r="Z13" s="1" t="s">
        <v>204</v>
      </c>
      <c r="AA13" t="b">
        <v>0</v>
      </c>
      <c r="AB13" t="b">
        <v>0</v>
      </c>
      <c r="AC13" t="b">
        <v>0</v>
      </c>
      <c r="AD13" t="b">
        <v>0</v>
      </c>
      <c r="AE13" t="b">
        <v>0</v>
      </c>
      <c r="AF13" t="b">
        <v>0</v>
      </c>
      <c r="AG13" t="b">
        <v>1</v>
      </c>
      <c r="AH13" s="1" t="s">
        <v>675</v>
      </c>
    </row>
    <row r="14" spans="1:34" x14ac:dyDescent="0.25">
      <c r="A14" s="1" t="s">
        <v>409</v>
      </c>
      <c r="B14" s="1" t="s">
        <v>410</v>
      </c>
      <c r="C14">
        <v>4</v>
      </c>
      <c r="D14" s="1" t="s">
        <v>35</v>
      </c>
      <c r="E14" s="1" t="s">
        <v>36</v>
      </c>
      <c r="F14" s="1" t="s">
        <v>395</v>
      </c>
      <c r="G14" s="1" t="s">
        <v>38</v>
      </c>
      <c r="H14" s="2">
        <v>44501</v>
      </c>
      <c r="I14" s="1" t="s">
        <v>411</v>
      </c>
      <c r="J14" s="1" t="s">
        <v>397</v>
      </c>
      <c r="K14" s="1" t="s">
        <v>412</v>
      </c>
      <c r="L14" s="1">
        <v>2020</v>
      </c>
      <c r="M14" s="1" t="s">
        <v>36</v>
      </c>
      <c r="N14" s="1" t="s">
        <v>43</v>
      </c>
      <c r="O14" s="2">
        <v>44409</v>
      </c>
      <c r="P14">
        <v>2021</v>
      </c>
      <c r="Q14">
        <v>8</v>
      </c>
      <c r="R14" s="1" t="s">
        <v>413</v>
      </c>
      <c r="S14" s="1" t="s">
        <v>43</v>
      </c>
      <c r="T14" s="1" t="s">
        <v>43</v>
      </c>
      <c r="U14" s="1" t="s">
        <v>414</v>
      </c>
      <c r="V14" s="1" t="s">
        <v>415</v>
      </c>
      <c r="W14" s="1" t="s">
        <v>64</v>
      </c>
      <c r="X14" s="1" t="s">
        <v>48</v>
      </c>
      <c r="Y14" s="1"/>
      <c r="Z14" s="1" t="s">
        <v>65</v>
      </c>
      <c r="AA14" t="b">
        <v>0</v>
      </c>
      <c r="AB14" t="b">
        <v>0</v>
      </c>
      <c r="AC14" t="b">
        <v>0</v>
      </c>
      <c r="AD14" t="b">
        <v>0</v>
      </c>
      <c r="AE14" t="b">
        <v>0</v>
      </c>
      <c r="AF14" t="b">
        <v>0</v>
      </c>
      <c r="AG14" t="b">
        <v>0</v>
      </c>
      <c r="AH14" s="1" t="s">
        <v>93</v>
      </c>
    </row>
    <row r="15" spans="1:34" x14ac:dyDescent="0.25">
      <c r="A15" s="1" t="s">
        <v>416</v>
      </c>
      <c r="B15" s="1" t="s">
        <v>417</v>
      </c>
      <c r="C15">
        <v>2</v>
      </c>
      <c r="D15" s="1" t="s">
        <v>35</v>
      </c>
      <c r="E15" s="1" t="s">
        <v>36</v>
      </c>
      <c r="F15" s="1" t="s">
        <v>395</v>
      </c>
      <c r="G15" s="1" t="s">
        <v>177</v>
      </c>
      <c r="H15" s="2">
        <v>45778</v>
      </c>
      <c r="I15" s="1" t="s">
        <v>418</v>
      </c>
      <c r="J15" s="1" t="s">
        <v>397</v>
      </c>
      <c r="K15" s="1" t="s">
        <v>412</v>
      </c>
      <c r="L15" s="1">
        <v>2020</v>
      </c>
      <c r="M15" s="1" t="s">
        <v>36</v>
      </c>
      <c r="N15" s="1" t="s">
        <v>43</v>
      </c>
      <c r="O15" s="2">
        <v>45717</v>
      </c>
      <c r="P15">
        <v>2025</v>
      </c>
      <c r="Q15">
        <v>3</v>
      </c>
      <c r="R15" s="1" t="s">
        <v>419</v>
      </c>
      <c r="S15" s="1" t="s">
        <v>43</v>
      </c>
      <c r="T15" s="1" t="s">
        <v>43</v>
      </c>
      <c r="U15" s="1" t="s">
        <v>420</v>
      </c>
      <c r="V15" s="1" t="s">
        <v>73</v>
      </c>
      <c r="W15" s="1" t="s">
        <v>64</v>
      </c>
      <c r="X15" s="1" t="s">
        <v>117</v>
      </c>
      <c r="Y15" s="1"/>
      <c r="Z15" s="1" t="s">
        <v>204</v>
      </c>
      <c r="AA15" t="b">
        <v>0</v>
      </c>
      <c r="AB15" t="b">
        <v>0</v>
      </c>
      <c r="AC15" t="b">
        <v>0</v>
      </c>
      <c r="AD15" t="b">
        <v>0</v>
      </c>
      <c r="AE15" t="b">
        <v>0</v>
      </c>
      <c r="AF15" t="b">
        <v>0</v>
      </c>
      <c r="AG15" t="b">
        <v>0</v>
      </c>
      <c r="AH15" s="1" t="s">
        <v>421</v>
      </c>
    </row>
    <row r="16" spans="1:34" x14ac:dyDescent="0.25">
      <c r="A16" s="1" t="s">
        <v>490</v>
      </c>
      <c r="B16" s="1" t="s">
        <v>491</v>
      </c>
      <c r="C16">
        <v>3</v>
      </c>
      <c r="D16" s="1" t="s">
        <v>35</v>
      </c>
      <c r="E16" s="1" t="s">
        <v>36</v>
      </c>
      <c r="F16" s="1" t="s">
        <v>395</v>
      </c>
      <c r="G16" s="1" t="s">
        <v>38</v>
      </c>
      <c r="H16" s="2">
        <v>44470</v>
      </c>
      <c r="I16" s="1" t="s">
        <v>492</v>
      </c>
      <c r="J16" s="1" t="s">
        <v>397</v>
      </c>
      <c r="K16" s="1" t="s">
        <v>412</v>
      </c>
      <c r="L16" s="1">
        <v>2020</v>
      </c>
      <c r="M16" s="1" t="s">
        <v>36</v>
      </c>
      <c r="N16" s="1" t="s">
        <v>43</v>
      </c>
      <c r="O16" s="2">
        <v>44409</v>
      </c>
      <c r="P16">
        <v>2021</v>
      </c>
      <c r="Q16">
        <v>8</v>
      </c>
      <c r="R16" s="1" t="s">
        <v>493</v>
      </c>
      <c r="S16" s="1" t="s">
        <v>43</v>
      </c>
      <c r="T16" s="1" t="s">
        <v>43</v>
      </c>
      <c r="U16" s="1" t="s">
        <v>43</v>
      </c>
      <c r="V16" s="1" t="s">
        <v>482</v>
      </c>
      <c r="W16" s="1" t="s">
        <v>64</v>
      </c>
      <c r="X16" s="1" t="s">
        <v>48</v>
      </c>
      <c r="Y16" s="1"/>
      <c r="Z16" s="1" t="s">
        <v>92</v>
      </c>
      <c r="AA16" t="b">
        <v>0</v>
      </c>
      <c r="AB16" t="b">
        <v>0</v>
      </c>
      <c r="AC16" t="b">
        <v>0</v>
      </c>
      <c r="AD16" t="b">
        <v>0</v>
      </c>
      <c r="AE16" t="b">
        <v>0</v>
      </c>
      <c r="AF16" t="b">
        <v>0</v>
      </c>
      <c r="AG16" t="b">
        <v>0</v>
      </c>
      <c r="AH16" s="1" t="s">
        <v>93</v>
      </c>
    </row>
    <row r="17" spans="1:34" x14ac:dyDescent="0.25">
      <c r="A17" s="1" t="s">
        <v>519</v>
      </c>
      <c r="B17" s="1" t="s">
        <v>520</v>
      </c>
      <c r="C17">
        <v>2</v>
      </c>
      <c r="D17" s="1" t="s">
        <v>104</v>
      </c>
      <c r="E17" s="1" t="s">
        <v>36</v>
      </c>
      <c r="F17" s="1" t="s">
        <v>395</v>
      </c>
      <c r="G17" s="1" t="s">
        <v>38</v>
      </c>
      <c r="H17" s="2">
        <v>46174</v>
      </c>
      <c r="I17" s="1" t="s">
        <v>521</v>
      </c>
      <c r="J17" s="1" t="s">
        <v>397</v>
      </c>
      <c r="K17" s="1" t="s">
        <v>412</v>
      </c>
      <c r="L17" s="1">
        <v>2020</v>
      </c>
      <c r="M17" s="1" t="s">
        <v>36</v>
      </c>
      <c r="N17" s="1" t="s">
        <v>439</v>
      </c>
      <c r="O17" s="2">
        <v>45901</v>
      </c>
      <c r="P17">
        <v>2025</v>
      </c>
      <c r="Q17">
        <v>9</v>
      </c>
      <c r="R17" s="1" t="s">
        <v>522</v>
      </c>
      <c r="S17" s="1" t="s">
        <v>43</v>
      </c>
      <c r="T17" s="1" t="s">
        <v>43</v>
      </c>
      <c r="U17" s="1" t="s">
        <v>523</v>
      </c>
      <c r="V17" s="1" t="s">
        <v>227</v>
      </c>
      <c r="W17" s="1" t="s">
        <v>47</v>
      </c>
      <c r="X17" s="1" t="s">
        <v>74</v>
      </c>
      <c r="Y17" s="1"/>
      <c r="Z17" s="1" t="s">
        <v>304</v>
      </c>
      <c r="AA17" t="b">
        <v>1</v>
      </c>
      <c r="AB17" t="b">
        <v>1</v>
      </c>
      <c r="AC17" t="b">
        <v>0</v>
      </c>
      <c r="AD17" t="b">
        <v>0</v>
      </c>
      <c r="AE17" t="b">
        <v>1</v>
      </c>
      <c r="AF17" t="b">
        <v>0</v>
      </c>
      <c r="AG17" t="b">
        <v>0</v>
      </c>
      <c r="AH17" s="1" t="s">
        <v>524</v>
      </c>
    </row>
    <row r="18" spans="1:34" x14ac:dyDescent="0.25">
      <c r="A18" s="1" t="s">
        <v>536</v>
      </c>
      <c r="B18" s="1" t="s">
        <v>537</v>
      </c>
      <c r="C18">
        <v>1</v>
      </c>
      <c r="D18" s="1" t="s">
        <v>104</v>
      </c>
      <c r="E18" s="1" t="s">
        <v>36</v>
      </c>
      <c r="F18" s="1" t="s">
        <v>395</v>
      </c>
      <c r="G18" s="1" t="s">
        <v>120</v>
      </c>
      <c r="H18" s="2">
        <v>46174</v>
      </c>
      <c r="I18" s="1" t="s">
        <v>538</v>
      </c>
      <c r="J18" s="1" t="s">
        <v>397</v>
      </c>
      <c r="K18" s="1" t="s">
        <v>412</v>
      </c>
      <c r="L18" s="1">
        <v>2020</v>
      </c>
      <c r="M18" s="1" t="s">
        <v>36</v>
      </c>
      <c r="N18" s="1" t="s">
        <v>460</v>
      </c>
      <c r="O18" s="2">
        <v>46143</v>
      </c>
      <c r="P18">
        <v>2026</v>
      </c>
      <c r="Q18">
        <v>5</v>
      </c>
      <c r="R18" s="1" t="s">
        <v>539</v>
      </c>
      <c r="S18" s="1" t="s">
        <v>43</v>
      </c>
      <c r="T18" s="1" t="s">
        <v>43</v>
      </c>
      <c r="U18" s="1" t="s">
        <v>540</v>
      </c>
      <c r="V18" s="1" t="s">
        <v>541</v>
      </c>
      <c r="W18" s="1" t="s">
        <v>139</v>
      </c>
      <c r="X18" s="1" t="s">
        <v>49</v>
      </c>
      <c r="Y18" s="1"/>
      <c r="Z18" s="1" t="s">
        <v>65</v>
      </c>
      <c r="AA18" t="b">
        <v>0</v>
      </c>
      <c r="AB18" t="b">
        <v>0</v>
      </c>
      <c r="AC18" t="b">
        <v>0</v>
      </c>
      <c r="AD18" t="b">
        <v>0</v>
      </c>
      <c r="AE18" t="b">
        <v>1</v>
      </c>
      <c r="AF18" t="b">
        <v>0</v>
      </c>
      <c r="AG18" t="b">
        <v>0</v>
      </c>
      <c r="AH18" s="1" t="s">
        <v>93</v>
      </c>
    </row>
    <row r="19" spans="1:34" x14ac:dyDescent="0.25">
      <c r="A19" s="1" t="s">
        <v>558</v>
      </c>
      <c r="B19" s="1" t="s">
        <v>559</v>
      </c>
      <c r="C19">
        <v>3</v>
      </c>
      <c r="D19" s="1" t="s">
        <v>35</v>
      </c>
      <c r="E19" s="1" t="s">
        <v>36</v>
      </c>
      <c r="F19" s="1" t="s">
        <v>395</v>
      </c>
      <c r="G19" s="1" t="s">
        <v>38</v>
      </c>
      <c r="H19" s="2">
        <v>44743</v>
      </c>
      <c r="I19" s="1" t="s">
        <v>560</v>
      </c>
      <c r="J19" s="1" t="s">
        <v>397</v>
      </c>
      <c r="K19" s="1" t="s">
        <v>412</v>
      </c>
      <c r="L19" s="1">
        <v>2020</v>
      </c>
      <c r="M19" s="1" t="s">
        <v>36</v>
      </c>
      <c r="N19" s="1" t="s">
        <v>43</v>
      </c>
      <c r="O19" s="2">
        <v>44682</v>
      </c>
      <c r="P19">
        <v>2022</v>
      </c>
      <c r="Q19">
        <v>5</v>
      </c>
      <c r="R19" s="1" t="s">
        <v>561</v>
      </c>
      <c r="S19" s="1" t="s">
        <v>43</v>
      </c>
      <c r="T19" s="1" t="s">
        <v>43</v>
      </c>
      <c r="U19" s="1" t="s">
        <v>562</v>
      </c>
      <c r="V19" s="1" t="s">
        <v>321</v>
      </c>
      <c r="W19" s="1" t="s">
        <v>64</v>
      </c>
      <c r="X19" s="1" t="s">
        <v>74</v>
      </c>
      <c r="Y19" s="1"/>
      <c r="Z19" s="1" t="s">
        <v>92</v>
      </c>
      <c r="AA19" t="b">
        <v>0</v>
      </c>
      <c r="AB19" t="b">
        <v>0</v>
      </c>
      <c r="AC19" t="b">
        <v>0</v>
      </c>
      <c r="AD19" t="b">
        <v>0</v>
      </c>
      <c r="AE19" t="b">
        <v>0</v>
      </c>
      <c r="AF19" t="b">
        <v>0</v>
      </c>
      <c r="AG19" t="b">
        <v>1</v>
      </c>
      <c r="AH19" s="1" t="s">
        <v>563</v>
      </c>
    </row>
    <row r="20" spans="1:34" x14ac:dyDescent="0.25">
      <c r="A20" s="1" t="s">
        <v>564</v>
      </c>
      <c r="B20" s="1" t="s">
        <v>565</v>
      </c>
      <c r="C20">
        <v>3</v>
      </c>
      <c r="D20" s="1" t="s">
        <v>35</v>
      </c>
      <c r="E20" s="1" t="s">
        <v>36</v>
      </c>
      <c r="F20" s="1" t="s">
        <v>395</v>
      </c>
      <c r="G20" s="1" t="s">
        <v>38</v>
      </c>
      <c r="H20" s="2">
        <v>44805</v>
      </c>
      <c r="I20" s="1" t="s">
        <v>566</v>
      </c>
      <c r="J20" s="1" t="s">
        <v>397</v>
      </c>
      <c r="K20" s="1" t="s">
        <v>412</v>
      </c>
      <c r="L20" s="1">
        <v>2020</v>
      </c>
      <c r="M20" s="1" t="s">
        <v>36</v>
      </c>
      <c r="N20" s="1" t="s">
        <v>43</v>
      </c>
      <c r="O20" s="2">
        <v>44743</v>
      </c>
      <c r="P20">
        <v>2022</v>
      </c>
      <c r="Q20">
        <v>7</v>
      </c>
      <c r="R20" s="1" t="s">
        <v>567</v>
      </c>
      <c r="S20" s="1" t="s">
        <v>43</v>
      </c>
      <c r="T20" s="1" t="s">
        <v>43</v>
      </c>
      <c r="U20" s="1" t="s">
        <v>43</v>
      </c>
      <c r="V20" s="1" t="s">
        <v>415</v>
      </c>
      <c r="W20" s="1" t="s">
        <v>49</v>
      </c>
      <c r="X20" s="1" t="s">
        <v>117</v>
      </c>
      <c r="Y20" s="1"/>
      <c r="Z20" s="1" t="s">
        <v>92</v>
      </c>
      <c r="AA20" t="b">
        <v>0</v>
      </c>
      <c r="AB20" t="b">
        <v>0</v>
      </c>
      <c r="AC20" t="b">
        <v>0</v>
      </c>
      <c r="AD20" t="b">
        <v>0</v>
      </c>
      <c r="AE20" t="b">
        <v>0</v>
      </c>
      <c r="AF20" t="b">
        <v>0</v>
      </c>
      <c r="AG20" t="b">
        <v>0</v>
      </c>
      <c r="AH20" s="1" t="s">
        <v>93</v>
      </c>
    </row>
    <row r="21" spans="1:34" x14ac:dyDescent="0.25">
      <c r="A21" s="1" t="s">
        <v>597</v>
      </c>
      <c r="B21" s="1" t="s">
        <v>598</v>
      </c>
      <c r="C21">
        <v>3</v>
      </c>
      <c r="D21" s="1" t="s">
        <v>35</v>
      </c>
      <c r="E21" s="1" t="s">
        <v>36</v>
      </c>
      <c r="F21" s="1" t="s">
        <v>395</v>
      </c>
      <c r="G21" s="1" t="s">
        <v>38</v>
      </c>
      <c r="H21" s="2">
        <v>44958</v>
      </c>
      <c r="I21" s="1" t="s">
        <v>599</v>
      </c>
      <c r="J21" s="1" t="s">
        <v>397</v>
      </c>
      <c r="K21" s="1" t="s">
        <v>412</v>
      </c>
      <c r="L21" s="1">
        <v>2020</v>
      </c>
      <c r="M21" s="1" t="s">
        <v>36</v>
      </c>
      <c r="N21" s="1" t="s">
        <v>43</v>
      </c>
      <c r="O21" s="2">
        <v>44896</v>
      </c>
      <c r="P21">
        <v>2022</v>
      </c>
      <c r="Q21">
        <v>12</v>
      </c>
      <c r="R21" s="1" t="s">
        <v>600</v>
      </c>
      <c r="S21" s="1" t="s">
        <v>43</v>
      </c>
      <c r="T21" s="1" t="s">
        <v>43</v>
      </c>
      <c r="U21" s="1" t="s">
        <v>601</v>
      </c>
      <c r="V21" s="1" t="s">
        <v>358</v>
      </c>
      <c r="W21" s="1" t="s">
        <v>64</v>
      </c>
      <c r="X21" s="1" t="s">
        <v>290</v>
      </c>
      <c r="Y21" s="1"/>
      <c r="Z21" s="1" t="s">
        <v>92</v>
      </c>
      <c r="AA21" t="b">
        <v>0</v>
      </c>
      <c r="AB21" t="b">
        <v>0</v>
      </c>
      <c r="AC21" t="b">
        <v>0</v>
      </c>
      <c r="AD21" t="b">
        <v>0</v>
      </c>
      <c r="AE21" t="b">
        <v>0</v>
      </c>
      <c r="AF21" t="b">
        <v>0</v>
      </c>
      <c r="AG21" t="b">
        <v>1</v>
      </c>
      <c r="AH21" s="1" t="s">
        <v>602</v>
      </c>
    </row>
    <row r="22" spans="1:34" x14ac:dyDescent="0.25">
      <c r="A22" s="1" t="s">
        <v>620</v>
      </c>
      <c r="B22" s="1" t="s">
        <v>621</v>
      </c>
      <c r="C22">
        <v>2</v>
      </c>
      <c r="D22" s="1" t="s">
        <v>35</v>
      </c>
      <c r="E22" s="1" t="s">
        <v>36</v>
      </c>
      <c r="F22" s="1" t="s">
        <v>395</v>
      </c>
      <c r="G22" s="1" t="s">
        <v>177</v>
      </c>
      <c r="H22" s="2">
        <v>45017</v>
      </c>
      <c r="I22" s="1" t="s">
        <v>622</v>
      </c>
      <c r="J22" s="1" t="s">
        <v>397</v>
      </c>
      <c r="K22" s="1" t="s">
        <v>412</v>
      </c>
      <c r="L22" s="1">
        <v>2020</v>
      </c>
      <c r="M22" s="1" t="s">
        <v>36</v>
      </c>
      <c r="N22" s="1" t="s">
        <v>43</v>
      </c>
      <c r="O22" s="2">
        <v>44986</v>
      </c>
      <c r="P22">
        <v>2023</v>
      </c>
      <c r="Q22">
        <v>3</v>
      </c>
      <c r="R22" s="1" t="s">
        <v>623</v>
      </c>
      <c r="S22" s="1" t="s">
        <v>43</v>
      </c>
      <c r="T22" s="1" t="s">
        <v>43</v>
      </c>
      <c r="U22" s="1" t="s">
        <v>624</v>
      </c>
      <c r="V22" s="1" t="s">
        <v>415</v>
      </c>
      <c r="W22" s="1" t="s">
        <v>64</v>
      </c>
      <c r="X22" s="1" t="s">
        <v>384</v>
      </c>
      <c r="Y22" s="1"/>
      <c r="Z22" s="1" t="s">
        <v>65</v>
      </c>
      <c r="AA22" t="b">
        <v>0</v>
      </c>
      <c r="AB22" t="b">
        <v>0</v>
      </c>
      <c r="AC22" t="b">
        <v>0</v>
      </c>
      <c r="AD22" t="b">
        <v>0</v>
      </c>
      <c r="AE22" t="b">
        <v>0</v>
      </c>
      <c r="AF22" t="b">
        <v>0</v>
      </c>
      <c r="AG22" t="b">
        <v>0</v>
      </c>
      <c r="AH22" s="1" t="s">
        <v>625</v>
      </c>
    </row>
    <row r="23" spans="1:34" x14ac:dyDescent="0.25">
      <c r="A23" s="1" t="s">
        <v>657</v>
      </c>
      <c r="B23" s="1" t="s">
        <v>658</v>
      </c>
      <c r="C23">
        <v>3</v>
      </c>
      <c r="D23" s="1" t="s">
        <v>35</v>
      </c>
      <c r="E23" s="1" t="s">
        <v>36</v>
      </c>
      <c r="F23" s="1" t="s">
        <v>395</v>
      </c>
      <c r="G23" s="1" t="s">
        <v>38</v>
      </c>
      <c r="H23" s="2">
        <v>45383</v>
      </c>
      <c r="I23" s="1" t="s">
        <v>659</v>
      </c>
      <c r="J23" s="1" t="s">
        <v>397</v>
      </c>
      <c r="K23" s="1" t="s">
        <v>412</v>
      </c>
      <c r="L23" s="1">
        <v>2020</v>
      </c>
      <c r="M23" s="1" t="s">
        <v>36</v>
      </c>
      <c r="N23" s="1" t="s">
        <v>43</v>
      </c>
      <c r="O23" s="2">
        <v>45352</v>
      </c>
      <c r="P23">
        <v>2024</v>
      </c>
      <c r="Q23">
        <v>3</v>
      </c>
      <c r="R23" s="1" t="s">
        <v>660</v>
      </c>
      <c r="S23" s="1" t="s">
        <v>43</v>
      </c>
      <c r="T23" s="1" t="s">
        <v>43</v>
      </c>
      <c r="U23" s="1" t="s">
        <v>661</v>
      </c>
      <c r="V23" s="1" t="s">
        <v>138</v>
      </c>
      <c r="W23" s="1" t="s">
        <v>274</v>
      </c>
      <c r="X23" s="1" t="s">
        <v>264</v>
      </c>
      <c r="Y23" s="1"/>
      <c r="Z23" s="1" t="s">
        <v>92</v>
      </c>
      <c r="AA23" t="b">
        <v>0</v>
      </c>
      <c r="AB23" t="b">
        <v>0</v>
      </c>
      <c r="AC23" t="b">
        <v>0</v>
      </c>
      <c r="AD23" t="b">
        <v>0</v>
      </c>
      <c r="AE23" t="b">
        <v>0</v>
      </c>
      <c r="AF23" t="b">
        <v>0</v>
      </c>
      <c r="AG23" t="b">
        <v>0</v>
      </c>
      <c r="AH23" s="1" t="s">
        <v>662</v>
      </c>
    </row>
    <row r="24" spans="1:34" x14ac:dyDescent="0.25">
      <c r="A24" s="1" t="s">
        <v>681</v>
      </c>
      <c r="B24" s="1" t="s">
        <v>682</v>
      </c>
      <c r="C24">
        <v>3</v>
      </c>
      <c r="D24" s="1" t="s">
        <v>35</v>
      </c>
      <c r="E24" s="1" t="s">
        <v>36</v>
      </c>
      <c r="F24" s="1" t="s">
        <v>395</v>
      </c>
      <c r="G24" s="1" t="s">
        <v>38</v>
      </c>
      <c r="H24" s="2">
        <v>45536</v>
      </c>
      <c r="I24" s="1" t="s">
        <v>683</v>
      </c>
      <c r="J24" s="1" t="s">
        <v>397</v>
      </c>
      <c r="K24" s="1" t="s">
        <v>412</v>
      </c>
      <c r="L24" s="1">
        <v>2020</v>
      </c>
      <c r="M24" s="1" t="s">
        <v>36</v>
      </c>
      <c r="N24" s="1" t="s">
        <v>43</v>
      </c>
      <c r="O24" s="2">
        <v>45474</v>
      </c>
      <c r="P24">
        <v>2024</v>
      </c>
      <c r="Q24">
        <v>7</v>
      </c>
      <c r="R24" s="1" t="s">
        <v>684</v>
      </c>
      <c r="S24" s="1" t="s">
        <v>43</v>
      </c>
      <c r="T24" s="1" t="s">
        <v>43</v>
      </c>
      <c r="U24" s="1" t="s">
        <v>685</v>
      </c>
      <c r="V24" s="1" t="s">
        <v>686</v>
      </c>
      <c r="W24" s="1" t="s">
        <v>139</v>
      </c>
      <c r="X24" s="1" t="s">
        <v>290</v>
      </c>
      <c r="Y24" s="1"/>
      <c r="Z24" s="1" t="s">
        <v>204</v>
      </c>
      <c r="AA24" t="b">
        <v>0</v>
      </c>
      <c r="AB24" t="b">
        <v>0</v>
      </c>
      <c r="AC24" t="b">
        <v>0</v>
      </c>
      <c r="AD24" t="b">
        <v>0</v>
      </c>
      <c r="AE24" t="b">
        <v>0</v>
      </c>
      <c r="AF24" t="b">
        <v>0</v>
      </c>
      <c r="AG24" t="b">
        <v>0</v>
      </c>
      <c r="AH24" s="1" t="s">
        <v>687</v>
      </c>
    </row>
    <row r="25" spans="1:34" x14ac:dyDescent="0.25">
      <c r="A25" s="1" t="s">
        <v>766</v>
      </c>
      <c r="B25" s="1" t="s">
        <v>767</v>
      </c>
      <c r="C25">
        <v>1</v>
      </c>
      <c r="D25" s="1" t="s">
        <v>35</v>
      </c>
      <c r="E25" s="1" t="s">
        <v>36</v>
      </c>
      <c r="F25" s="1" t="s">
        <v>751</v>
      </c>
      <c r="G25" s="1" t="s">
        <v>120</v>
      </c>
      <c r="H25" s="2">
        <v>45778</v>
      </c>
      <c r="I25" s="1" t="s">
        <v>768</v>
      </c>
      <c r="J25" s="1" t="s">
        <v>769</v>
      </c>
      <c r="K25" s="1" t="s">
        <v>770</v>
      </c>
      <c r="L25" s="1">
        <v>2020</v>
      </c>
      <c r="M25" s="1" t="s">
        <v>36</v>
      </c>
      <c r="N25" s="1" t="s">
        <v>43</v>
      </c>
      <c r="O25" s="2">
        <v>45748</v>
      </c>
      <c r="P25">
        <v>2025</v>
      </c>
      <c r="Q25">
        <v>4</v>
      </c>
      <c r="R25" s="1" t="s">
        <v>771</v>
      </c>
      <c r="S25" s="1" t="s">
        <v>43</v>
      </c>
      <c r="T25" s="1" t="s">
        <v>43</v>
      </c>
      <c r="U25" s="1" t="s">
        <v>772</v>
      </c>
      <c r="V25" s="1" t="s">
        <v>321</v>
      </c>
      <c r="W25" s="1" t="s">
        <v>64</v>
      </c>
      <c r="X25" s="1" t="s">
        <v>48</v>
      </c>
      <c r="Y25" s="1"/>
      <c r="Z25" s="1" t="s">
        <v>49</v>
      </c>
      <c r="AA25" t="b">
        <v>0</v>
      </c>
      <c r="AC25" t="b">
        <v>0</v>
      </c>
      <c r="AD25" t="b">
        <v>0</v>
      </c>
      <c r="AE25" t="b">
        <v>0</v>
      </c>
      <c r="AF25" t="b">
        <v>0</v>
      </c>
      <c r="AG25" t="b">
        <v>0</v>
      </c>
      <c r="AH25" s="1" t="s">
        <v>773</v>
      </c>
    </row>
    <row r="26" spans="1:34" x14ac:dyDescent="0.25">
      <c r="A26" s="1" t="s">
        <v>162</v>
      </c>
      <c r="B26" s="1" t="s">
        <v>163</v>
      </c>
      <c r="C26">
        <v>5</v>
      </c>
      <c r="D26" s="1" t="s">
        <v>35</v>
      </c>
      <c r="E26" s="1" t="s">
        <v>36</v>
      </c>
      <c r="F26" s="1" t="s">
        <v>85</v>
      </c>
      <c r="G26" s="1" t="s">
        <v>38</v>
      </c>
      <c r="H26" s="2">
        <v>44501</v>
      </c>
      <c r="I26" s="1" t="s">
        <v>164</v>
      </c>
      <c r="J26" s="1" t="s">
        <v>87</v>
      </c>
      <c r="K26" s="1" t="s">
        <v>128</v>
      </c>
      <c r="L26" s="1">
        <v>2021</v>
      </c>
      <c r="M26" s="1" t="s">
        <v>36</v>
      </c>
      <c r="N26" s="1" t="s">
        <v>43</v>
      </c>
      <c r="O26" s="2"/>
      <c r="R26" s="1" t="s">
        <v>43</v>
      </c>
      <c r="S26" s="1" t="s">
        <v>43</v>
      </c>
      <c r="T26" s="1" t="s">
        <v>43</v>
      </c>
      <c r="U26" s="1" t="s">
        <v>165</v>
      </c>
      <c r="V26" s="1" t="s">
        <v>138</v>
      </c>
      <c r="W26" s="1" t="s">
        <v>64</v>
      </c>
      <c r="X26" s="1" t="s">
        <v>48</v>
      </c>
      <c r="Y26" s="1"/>
      <c r="Z26" s="1" t="s">
        <v>65</v>
      </c>
      <c r="AA26" t="b">
        <v>0</v>
      </c>
      <c r="AB26" t="b">
        <v>0</v>
      </c>
      <c r="AC26" t="b">
        <v>0</v>
      </c>
      <c r="AD26" t="b">
        <v>0</v>
      </c>
      <c r="AE26" t="b">
        <v>0</v>
      </c>
      <c r="AF26" t="b">
        <v>0</v>
      </c>
      <c r="AG26" t="b">
        <v>0</v>
      </c>
      <c r="AH26" s="1" t="s">
        <v>166</v>
      </c>
    </row>
    <row r="27" spans="1:34" x14ac:dyDescent="0.25">
      <c r="A27" s="1" t="s">
        <v>221</v>
      </c>
      <c r="B27" s="1" t="s">
        <v>222</v>
      </c>
      <c r="C27">
        <v>3</v>
      </c>
      <c r="D27" s="1" t="s">
        <v>35</v>
      </c>
      <c r="E27" s="1" t="s">
        <v>36</v>
      </c>
      <c r="F27" s="1" t="s">
        <v>85</v>
      </c>
      <c r="G27" s="1" t="s">
        <v>38</v>
      </c>
      <c r="H27" s="2">
        <v>45505</v>
      </c>
      <c r="I27" s="1" t="s">
        <v>223</v>
      </c>
      <c r="J27" s="1" t="s">
        <v>87</v>
      </c>
      <c r="K27" s="1" t="s">
        <v>224</v>
      </c>
      <c r="L27" s="1">
        <v>2021</v>
      </c>
      <c r="M27" s="1" t="s">
        <v>42</v>
      </c>
      <c r="N27" s="1" t="s">
        <v>43</v>
      </c>
      <c r="O27" s="2">
        <v>45444</v>
      </c>
      <c r="P27">
        <v>2024</v>
      </c>
      <c r="Q27">
        <v>6</v>
      </c>
      <c r="R27" s="1" t="s">
        <v>225</v>
      </c>
      <c r="S27" s="1" t="s">
        <v>43</v>
      </c>
      <c r="T27" s="1" t="s">
        <v>43</v>
      </c>
      <c r="U27" s="1" t="s">
        <v>226</v>
      </c>
      <c r="V27" s="1" t="s">
        <v>227</v>
      </c>
      <c r="W27" s="1" t="s">
        <v>64</v>
      </c>
      <c r="X27" s="1" t="s">
        <v>147</v>
      </c>
      <c r="Y27" s="1"/>
      <c r="Z27" s="1" t="s">
        <v>92</v>
      </c>
      <c r="AA27" t="b">
        <v>0</v>
      </c>
      <c r="AB27" t="b">
        <v>0</v>
      </c>
      <c r="AC27" t="b">
        <v>0</v>
      </c>
      <c r="AD27" t="b">
        <v>0</v>
      </c>
      <c r="AE27" t="b">
        <v>0</v>
      </c>
      <c r="AF27" t="b">
        <v>0</v>
      </c>
      <c r="AG27" t="b">
        <v>1</v>
      </c>
      <c r="AH27" s="1" t="s">
        <v>93</v>
      </c>
    </row>
    <row r="28" spans="1:34" x14ac:dyDescent="0.25">
      <c r="A28" s="1" t="s">
        <v>210</v>
      </c>
      <c r="B28" s="1" t="s">
        <v>211</v>
      </c>
      <c r="C28">
        <v>3</v>
      </c>
      <c r="D28" s="1" t="s">
        <v>35</v>
      </c>
      <c r="E28" s="1" t="s">
        <v>36</v>
      </c>
      <c r="F28" s="1" t="s">
        <v>85</v>
      </c>
      <c r="G28" s="1" t="s">
        <v>38</v>
      </c>
      <c r="H28" s="2">
        <v>45292</v>
      </c>
      <c r="I28" s="1" t="s">
        <v>212</v>
      </c>
      <c r="J28" s="1" t="s">
        <v>87</v>
      </c>
      <c r="K28" s="1" t="s">
        <v>213</v>
      </c>
      <c r="L28" s="1">
        <v>2021</v>
      </c>
      <c r="M28" s="1" t="s">
        <v>36</v>
      </c>
      <c r="N28" s="1" t="s">
        <v>43</v>
      </c>
      <c r="O28" s="2">
        <v>45261</v>
      </c>
      <c r="P28">
        <v>2023</v>
      </c>
      <c r="Q28">
        <v>12</v>
      </c>
      <c r="R28" s="1" t="s">
        <v>214</v>
      </c>
      <c r="S28" s="1" t="s">
        <v>43</v>
      </c>
      <c r="T28" s="1" t="s">
        <v>43</v>
      </c>
      <c r="U28" s="1" t="s">
        <v>215</v>
      </c>
      <c r="V28" s="1" t="s">
        <v>91</v>
      </c>
      <c r="W28" s="1" t="s">
        <v>64</v>
      </c>
      <c r="X28" s="1" t="s">
        <v>48</v>
      </c>
      <c r="Y28" s="1"/>
      <c r="Z28" s="1" t="s">
        <v>92</v>
      </c>
      <c r="AA28" t="b">
        <v>0</v>
      </c>
      <c r="AB28" t="b">
        <v>0</v>
      </c>
      <c r="AC28" t="b">
        <v>0</v>
      </c>
      <c r="AD28" t="b">
        <v>0</v>
      </c>
      <c r="AE28" t="b">
        <v>0</v>
      </c>
      <c r="AF28" t="b">
        <v>0</v>
      </c>
      <c r="AG28" t="b">
        <v>0</v>
      </c>
      <c r="AH28" s="1" t="s">
        <v>93</v>
      </c>
    </row>
    <row r="29" spans="1:34" x14ac:dyDescent="0.25">
      <c r="A29" s="1" t="s">
        <v>154</v>
      </c>
      <c r="B29" s="1" t="s">
        <v>155</v>
      </c>
      <c r="C29">
        <v>4</v>
      </c>
      <c r="D29" s="1" t="s">
        <v>35</v>
      </c>
      <c r="E29" s="1" t="s">
        <v>36</v>
      </c>
      <c r="F29" s="1" t="s">
        <v>85</v>
      </c>
      <c r="G29" s="1" t="s">
        <v>38</v>
      </c>
      <c r="H29" s="2">
        <v>44531</v>
      </c>
      <c r="I29" s="1" t="s">
        <v>156</v>
      </c>
      <c r="J29" s="1" t="s">
        <v>87</v>
      </c>
      <c r="K29" s="1" t="s">
        <v>157</v>
      </c>
      <c r="L29" s="1">
        <v>2021</v>
      </c>
      <c r="M29" s="1" t="s">
        <v>36</v>
      </c>
      <c r="N29" s="1" t="s">
        <v>43</v>
      </c>
      <c r="O29" s="2">
        <v>44409</v>
      </c>
      <c r="P29">
        <v>2021</v>
      </c>
      <c r="Q29">
        <v>8</v>
      </c>
      <c r="R29" s="1" t="s">
        <v>158</v>
      </c>
      <c r="S29" s="1" t="s">
        <v>43</v>
      </c>
      <c r="T29" s="1" t="s">
        <v>43</v>
      </c>
      <c r="U29" s="1" t="s">
        <v>159</v>
      </c>
      <c r="V29" s="1" t="s">
        <v>160</v>
      </c>
      <c r="W29" s="1" t="s">
        <v>49</v>
      </c>
      <c r="X29" s="1" t="s">
        <v>49</v>
      </c>
      <c r="Y29" s="1"/>
      <c r="Z29" s="1" t="s">
        <v>49</v>
      </c>
      <c r="AA29" t="b">
        <v>0</v>
      </c>
      <c r="AC29" t="b">
        <v>0</v>
      </c>
      <c r="AD29" t="b">
        <v>0</v>
      </c>
      <c r="AE29" t="b">
        <v>0</v>
      </c>
      <c r="AF29" t="b">
        <v>0</v>
      </c>
      <c r="AG29" t="b">
        <v>0</v>
      </c>
      <c r="AH29" s="1" t="s">
        <v>161</v>
      </c>
    </row>
    <row r="30" spans="1:34" x14ac:dyDescent="0.25">
      <c r="A30" s="1" t="s">
        <v>248</v>
      </c>
      <c r="B30" s="1" t="s">
        <v>249</v>
      </c>
      <c r="C30">
        <v>2</v>
      </c>
      <c r="D30" s="1" t="s">
        <v>35</v>
      </c>
      <c r="E30" s="1" t="s">
        <v>36</v>
      </c>
      <c r="F30" s="1" t="s">
        <v>85</v>
      </c>
      <c r="G30" s="1" t="s">
        <v>38</v>
      </c>
      <c r="H30" s="2">
        <v>45627</v>
      </c>
      <c r="I30" s="1" t="s">
        <v>250</v>
      </c>
      <c r="J30" s="1" t="s">
        <v>87</v>
      </c>
      <c r="K30" s="1" t="s">
        <v>251</v>
      </c>
      <c r="L30" s="1">
        <v>2021</v>
      </c>
      <c r="M30" s="1" t="s">
        <v>42</v>
      </c>
      <c r="N30" s="1" t="s">
        <v>43</v>
      </c>
      <c r="O30" s="2">
        <v>45627</v>
      </c>
      <c r="P30">
        <v>2024</v>
      </c>
      <c r="Q30">
        <v>12</v>
      </c>
      <c r="R30" s="1" t="s">
        <v>252</v>
      </c>
      <c r="S30" s="1" t="s">
        <v>43</v>
      </c>
      <c r="T30" s="1" t="s">
        <v>43</v>
      </c>
      <c r="U30" s="1" t="s">
        <v>253</v>
      </c>
      <c r="V30" s="1" t="s">
        <v>254</v>
      </c>
      <c r="W30" s="1" t="s">
        <v>64</v>
      </c>
      <c r="X30" s="1" t="s">
        <v>48</v>
      </c>
      <c r="Y30" s="1"/>
      <c r="Z30" s="1" t="s">
        <v>65</v>
      </c>
      <c r="AA30" t="b">
        <v>0</v>
      </c>
      <c r="AB30" t="b">
        <v>0</v>
      </c>
      <c r="AC30" t="b">
        <v>0</v>
      </c>
      <c r="AD30" t="b">
        <v>0</v>
      </c>
      <c r="AE30" t="b">
        <v>0</v>
      </c>
      <c r="AF30" t="b">
        <v>0</v>
      </c>
      <c r="AG30" t="b">
        <v>0</v>
      </c>
      <c r="AH30" s="1" t="s">
        <v>93</v>
      </c>
    </row>
    <row r="31" spans="1:34" x14ac:dyDescent="0.25">
      <c r="A31" s="1" t="s">
        <v>345</v>
      </c>
      <c r="B31" s="1" t="s">
        <v>346</v>
      </c>
      <c r="C31">
        <v>2</v>
      </c>
      <c r="D31" s="1" t="s">
        <v>35</v>
      </c>
      <c r="E31" s="1" t="s">
        <v>53</v>
      </c>
      <c r="F31" s="1" t="s">
        <v>316</v>
      </c>
      <c r="G31" s="1" t="s">
        <v>177</v>
      </c>
      <c r="H31" s="2">
        <v>44743</v>
      </c>
      <c r="I31" s="1" t="s">
        <v>347</v>
      </c>
      <c r="J31" s="1" t="s">
        <v>355</v>
      </c>
      <c r="K31" s="1" t="s">
        <v>326</v>
      </c>
      <c r="L31" s="1">
        <v>2021</v>
      </c>
      <c r="M31" s="1" t="s">
        <v>53</v>
      </c>
      <c r="N31" s="1" t="s">
        <v>43</v>
      </c>
      <c r="O31" s="2">
        <v>44743</v>
      </c>
      <c r="P31">
        <v>2022</v>
      </c>
      <c r="Q31">
        <v>7</v>
      </c>
      <c r="R31" s="1" t="s">
        <v>348</v>
      </c>
      <c r="S31" s="1" t="s">
        <v>43</v>
      </c>
      <c r="T31" s="1" t="s">
        <v>43</v>
      </c>
      <c r="U31" s="1" t="s">
        <v>349</v>
      </c>
      <c r="V31" s="1" t="s">
        <v>350</v>
      </c>
      <c r="W31" s="1" t="s">
        <v>64</v>
      </c>
      <c r="X31" s="1" t="s">
        <v>795</v>
      </c>
      <c r="Y31" s="1"/>
      <c r="Z31" s="1" t="s">
        <v>65</v>
      </c>
      <c r="AA31" t="b">
        <v>0</v>
      </c>
      <c r="AB31" t="b">
        <v>0</v>
      </c>
      <c r="AC31" t="b">
        <v>0</v>
      </c>
      <c r="AD31" t="b">
        <v>0</v>
      </c>
      <c r="AE31" t="b">
        <v>0</v>
      </c>
      <c r="AF31" t="b">
        <v>0</v>
      </c>
      <c r="AG31" t="b">
        <v>0</v>
      </c>
      <c r="AH31" s="1" t="s">
        <v>351</v>
      </c>
    </row>
    <row r="32" spans="1:34" x14ac:dyDescent="0.25">
      <c r="A32" s="1" t="s">
        <v>360</v>
      </c>
      <c r="B32" s="1" t="s">
        <v>361</v>
      </c>
      <c r="C32">
        <v>1</v>
      </c>
      <c r="D32" s="1" t="s">
        <v>35</v>
      </c>
      <c r="E32" s="1" t="s">
        <v>53</v>
      </c>
      <c r="F32" s="1" t="s">
        <v>316</v>
      </c>
      <c r="G32" s="1" t="s">
        <v>54</v>
      </c>
      <c r="H32" s="2">
        <v>44774</v>
      </c>
      <c r="I32" s="1" t="s">
        <v>362</v>
      </c>
      <c r="J32" s="1" t="s">
        <v>355</v>
      </c>
      <c r="K32" s="1" t="s">
        <v>326</v>
      </c>
      <c r="L32" s="1">
        <v>2021</v>
      </c>
      <c r="M32" s="1" t="s">
        <v>53</v>
      </c>
      <c r="N32" s="1" t="s">
        <v>43</v>
      </c>
      <c r="O32" s="2">
        <v>44743</v>
      </c>
      <c r="P32">
        <v>2022</v>
      </c>
      <c r="Q32">
        <v>7</v>
      </c>
      <c r="R32" s="1" t="s">
        <v>363</v>
      </c>
      <c r="S32" s="1" t="s">
        <v>43</v>
      </c>
      <c r="T32" s="1" t="s">
        <v>43</v>
      </c>
      <c r="U32" s="1" t="s">
        <v>364</v>
      </c>
      <c r="V32" s="1" t="s">
        <v>350</v>
      </c>
      <c r="W32" s="1" t="s">
        <v>64</v>
      </c>
      <c r="X32" s="1" t="s">
        <v>795</v>
      </c>
      <c r="Y32" s="1"/>
      <c r="Z32" s="1" t="s">
        <v>65</v>
      </c>
      <c r="AA32" t="b">
        <v>0</v>
      </c>
      <c r="AB32" t="b">
        <v>0</v>
      </c>
      <c r="AC32" t="b">
        <v>0</v>
      </c>
      <c r="AD32" t="b">
        <v>0</v>
      </c>
      <c r="AE32" t="b">
        <v>0</v>
      </c>
      <c r="AF32" t="b">
        <v>0</v>
      </c>
      <c r="AG32" t="b">
        <v>0</v>
      </c>
      <c r="AH32" s="1" t="s">
        <v>365</v>
      </c>
    </row>
    <row r="33" spans="1:34" x14ac:dyDescent="0.25">
      <c r="A33" s="1" t="s">
        <v>57</v>
      </c>
      <c r="B33" s="1" t="s">
        <v>58</v>
      </c>
      <c r="C33">
        <v>1</v>
      </c>
      <c r="D33" s="1" t="s">
        <v>35</v>
      </c>
      <c r="E33" s="1" t="s">
        <v>53</v>
      </c>
      <c r="F33" s="1" t="s">
        <v>37</v>
      </c>
      <c r="G33" s="1" t="s">
        <v>54</v>
      </c>
      <c r="H33" s="2">
        <v>44713</v>
      </c>
      <c r="I33" s="1" t="s">
        <v>59</v>
      </c>
      <c r="J33" s="1" t="s">
        <v>40</v>
      </c>
      <c r="K33" s="1" t="s">
        <v>60</v>
      </c>
      <c r="L33" s="1">
        <v>2021</v>
      </c>
      <c r="M33" s="1" t="s">
        <v>42</v>
      </c>
      <c r="N33" s="1" t="s">
        <v>43</v>
      </c>
      <c r="O33" s="2">
        <v>44652</v>
      </c>
      <c r="P33">
        <v>2022</v>
      </c>
      <c r="Q33">
        <v>4</v>
      </c>
      <c r="R33" s="1" t="s">
        <v>61</v>
      </c>
      <c r="S33" s="1" t="s">
        <v>43</v>
      </c>
      <c r="T33" s="1" t="s">
        <v>43</v>
      </c>
      <c r="U33" s="1" t="s">
        <v>62</v>
      </c>
      <c r="V33" s="1" t="s">
        <v>63</v>
      </c>
      <c r="W33" s="1" t="s">
        <v>64</v>
      </c>
      <c r="X33" s="1" t="s">
        <v>48</v>
      </c>
      <c r="Y33" s="1"/>
      <c r="Z33" s="1" t="s">
        <v>65</v>
      </c>
      <c r="AA33" t="b">
        <v>0</v>
      </c>
      <c r="AB33" t="b">
        <v>0</v>
      </c>
      <c r="AC33" t="b">
        <v>0</v>
      </c>
      <c r="AD33" t="b">
        <v>0</v>
      </c>
      <c r="AE33" t="b">
        <v>0</v>
      </c>
      <c r="AF33" t="b">
        <v>0</v>
      </c>
      <c r="AG33" t="b">
        <v>0</v>
      </c>
      <c r="AH33" s="1" t="s">
        <v>66</v>
      </c>
    </row>
    <row r="34" spans="1:34" x14ac:dyDescent="0.25">
      <c r="A34" s="1" t="s">
        <v>282</v>
      </c>
      <c r="B34" s="1" t="s">
        <v>283</v>
      </c>
      <c r="C34">
        <v>2</v>
      </c>
      <c r="D34" s="1" t="s">
        <v>35</v>
      </c>
      <c r="E34" s="1" t="s">
        <v>36</v>
      </c>
      <c r="F34" s="1" t="s">
        <v>284</v>
      </c>
      <c r="G34" s="1" t="s">
        <v>38</v>
      </c>
      <c r="H34" s="2">
        <v>44501</v>
      </c>
      <c r="I34" s="1" t="s">
        <v>285</v>
      </c>
      <c r="J34" s="1" t="s">
        <v>286</v>
      </c>
      <c r="K34" s="1" t="s">
        <v>287</v>
      </c>
      <c r="L34" s="1">
        <v>2021</v>
      </c>
      <c r="M34" s="1" t="s">
        <v>36</v>
      </c>
      <c r="N34" s="1" t="s">
        <v>43</v>
      </c>
      <c r="O34" s="2">
        <v>44501</v>
      </c>
      <c r="P34">
        <v>2021</v>
      </c>
      <c r="Q34">
        <v>11</v>
      </c>
      <c r="R34" s="1" t="s">
        <v>288</v>
      </c>
      <c r="S34" s="1" t="s">
        <v>43</v>
      </c>
      <c r="T34" s="1" t="s">
        <v>43</v>
      </c>
      <c r="U34" s="1" t="s">
        <v>289</v>
      </c>
      <c r="V34" s="1" t="s">
        <v>110</v>
      </c>
      <c r="W34" s="1" t="s">
        <v>64</v>
      </c>
      <c r="X34" s="1" t="s">
        <v>290</v>
      </c>
      <c r="Y34" s="1"/>
      <c r="Z34" s="1" t="s">
        <v>49</v>
      </c>
      <c r="AA34" t="b">
        <v>0</v>
      </c>
      <c r="AC34" t="b">
        <v>0</v>
      </c>
      <c r="AD34" t="b">
        <v>0</v>
      </c>
      <c r="AE34" t="b">
        <v>0</v>
      </c>
      <c r="AF34" t="b">
        <v>0</v>
      </c>
      <c r="AG34" t="b">
        <v>1</v>
      </c>
      <c r="AH34" s="1" t="s">
        <v>93</v>
      </c>
    </row>
    <row r="35" spans="1:34" x14ac:dyDescent="0.25">
      <c r="A35" s="1" t="s">
        <v>276</v>
      </c>
      <c r="B35" s="1" t="s">
        <v>277</v>
      </c>
      <c r="C35">
        <v>3</v>
      </c>
      <c r="D35" s="1" t="s">
        <v>35</v>
      </c>
      <c r="E35" s="1" t="s">
        <v>36</v>
      </c>
      <c r="F35" s="1" t="s">
        <v>267</v>
      </c>
      <c r="G35" s="1" t="s">
        <v>38</v>
      </c>
      <c r="H35" s="2">
        <v>44621</v>
      </c>
      <c r="I35" s="1" t="s">
        <v>278</v>
      </c>
      <c r="J35" s="1" t="s">
        <v>269</v>
      </c>
      <c r="K35" s="1" t="s">
        <v>279</v>
      </c>
      <c r="L35" s="1">
        <v>2021</v>
      </c>
      <c r="M35" s="1" t="s">
        <v>36</v>
      </c>
      <c r="N35" s="1" t="s">
        <v>43</v>
      </c>
      <c r="O35" s="2">
        <v>44593</v>
      </c>
      <c r="P35">
        <v>2022</v>
      </c>
      <c r="Q35">
        <v>2</v>
      </c>
      <c r="R35" s="1" t="s">
        <v>280</v>
      </c>
      <c r="S35" s="1" t="s">
        <v>43</v>
      </c>
      <c r="T35" s="1" t="s">
        <v>43</v>
      </c>
      <c r="U35" s="1" t="s">
        <v>43</v>
      </c>
      <c r="V35" s="1" t="s">
        <v>116</v>
      </c>
      <c r="W35" s="1" t="s">
        <v>49</v>
      </c>
      <c r="X35" s="1" t="s">
        <v>49</v>
      </c>
      <c r="Y35" s="1"/>
      <c r="Z35" s="1" t="s">
        <v>65</v>
      </c>
      <c r="AA35" t="b">
        <v>0</v>
      </c>
      <c r="AB35" t="b">
        <v>0</v>
      </c>
      <c r="AC35" t="b">
        <v>0</v>
      </c>
      <c r="AD35" t="b">
        <v>0</v>
      </c>
      <c r="AE35" t="b">
        <v>0</v>
      </c>
      <c r="AF35" t="b">
        <v>0</v>
      </c>
      <c r="AG35" t="b">
        <v>0</v>
      </c>
      <c r="AH35" s="1" t="s">
        <v>281</v>
      </c>
    </row>
    <row r="36" spans="1:34" x14ac:dyDescent="0.25">
      <c r="A36" s="1" t="s">
        <v>402</v>
      </c>
      <c r="B36" s="1" t="s">
        <v>403</v>
      </c>
      <c r="C36">
        <v>3</v>
      </c>
      <c r="D36" s="1" t="s">
        <v>35</v>
      </c>
      <c r="E36" s="1" t="s">
        <v>36</v>
      </c>
      <c r="F36" s="1" t="s">
        <v>395</v>
      </c>
      <c r="G36" s="1" t="s">
        <v>38</v>
      </c>
      <c r="H36" s="2">
        <v>45809</v>
      </c>
      <c r="I36" s="1" t="s">
        <v>404</v>
      </c>
      <c r="J36" s="1" t="s">
        <v>397</v>
      </c>
      <c r="K36" s="1" t="s">
        <v>405</v>
      </c>
      <c r="L36" s="1">
        <v>2021</v>
      </c>
      <c r="M36" s="1" t="s">
        <v>36</v>
      </c>
      <c r="N36" s="1" t="s">
        <v>43</v>
      </c>
      <c r="O36" s="2">
        <v>45689</v>
      </c>
      <c r="P36">
        <v>2025</v>
      </c>
      <c r="Q36">
        <v>2</v>
      </c>
      <c r="R36" s="1" t="s">
        <v>406</v>
      </c>
      <c r="S36" s="1" t="s">
        <v>43</v>
      </c>
      <c r="T36" s="1" t="s">
        <v>43</v>
      </c>
      <c r="U36" s="1" t="s">
        <v>407</v>
      </c>
      <c r="V36" s="1" t="s">
        <v>321</v>
      </c>
      <c r="W36" s="1" t="s">
        <v>139</v>
      </c>
      <c r="X36" s="1" t="s">
        <v>795</v>
      </c>
      <c r="Y36" s="1"/>
      <c r="Z36" s="1" t="s">
        <v>204</v>
      </c>
      <c r="AA36" t="b">
        <v>0</v>
      </c>
      <c r="AB36" t="b">
        <v>0</v>
      </c>
      <c r="AC36" t="b">
        <v>0</v>
      </c>
      <c r="AD36" t="b">
        <v>0</v>
      </c>
      <c r="AE36" t="b">
        <v>0</v>
      </c>
      <c r="AF36" t="b">
        <v>0</v>
      </c>
      <c r="AG36" t="b">
        <v>1</v>
      </c>
      <c r="AH36" s="1" t="s">
        <v>408</v>
      </c>
    </row>
    <row r="37" spans="1:34" x14ac:dyDescent="0.25">
      <c r="A37" s="1" t="s">
        <v>494</v>
      </c>
      <c r="B37" s="1" t="s">
        <v>495</v>
      </c>
      <c r="C37">
        <v>3</v>
      </c>
      <c r="D37" s="1" t="s">
        <v>35</v>
      </c>
      <c r="E37" s="1" t="s">
        <v>36</v>
      </c>
      <c r="F37" s="1" t="s">
        <v>395</v>
      </c>
      <c r="G37" s="1" t="s">
        <v>38</v>
      </c>
      <c r="H37" s="2">
        <v>44501</v>
      </c>
      <c r="I37" s="1" t="s">
        <v>496</v>
      </c>
      <c r="J37" s="1" t="s">
        <v>397</v>
      </c>
      <c r="K37" s="1" t="s">
        <v>431</v>
      </c>
      <c r="L37" s="1">
        <v>2021</v>
      </c>
      <c r="M37" s="1" t="s">
        <v>36</v>
      </c>
      <c r="N37" s="1" t="s">
        <v>43</v>
      </c>
      <c r="O37" s="2">
        <v>44440</v>
      </c>
      <c r="P37">
        <v>2021</v>
      </c>
      <c r="Q37">
        <v>9</v>
      </c>
      <c r="R37" s="1" t="s">
        <v>497</v>
      </c>
      <c r="S37" s="1" t="s">
        <v>43</v>
      </c>
      <c r="T37" s="1" t="s">
        <v>43</v>
      </c>
      <c r="U37" s="1" t="s">
        <v>498</v>
      </c>
      <c r="V37" s="1" t="s">
        <v>358</v>
      </c>
      <c r="W37" s="1" t="s">
        <v>64</v>
      </c>
      <c r="X37" s="1" t="s">
        <v>48</v>
      </c>
      <c r="Y37" s="1"/>
      <c r="Z37" s="1" t="s">
        <v>65</v>
      </c>
      <c r="AA37" t="b">
        <v>0</v>
      </c>
      <c r="AB37" t="b">
        <v>0</v>
      </c>
      <c r="AC37" t="b">
        <v>0</v>
      </c>
      <c r="AD37" t="b">
        <v>0</v>
      </c>
      <c r="AE37" t="b">
        <v>0</v>
      </c>
      <c r="AF37" t="b">
        <v>0</v>
      </c>
      <c r="AG37" t="b">
        <v>1</v>
      </c>
      <c r="AH37" s="1" t="s">
        <v>93</v>
      </c>
    </row>
    <row r="38" spans="1:34" x14ac:dyDescent="0.25">
      <c r="A38" s="1" t="s">
        <v>509</v>
      </c>
      <c r="B38" s="1" t="s">
        <v>510</v>
      </c>
      <c r="C38">
        <v>5</v>
      </c>
      <c r="D38" s="1" t="s">
        <v>35</v>
      </c>
      <c r="E38" s="1" t="s">
        <v>36</v>
      </c>
      <c r="F38" s="1" t="s">
        <v>395</v>
      </c>
      <c r="G38" s="1" t="s">
        <v>38</v>
      </c>
      <c r="H38" s="2">
        <v>44562</v>
      </c>
      <c r="I38" s="1" t="s">
        <v>511</v>
      </c>
      <c r="J38" s="1" t="s">
        <v>397</v>
      </c>
      <c r="K38" s="1" t="s">
        <v>431</v>
      </c>
      <c r="L38" s="1">
        <v>2021</v>
      </c>
      <c r="M38" s="1" t="s">
        <v>36</v>
      </c>
      <c r="N38" s="1" t="s">
        <v>43</v>
      </c>
      <c r="O38" s="2">
        <v>44409</v>
      </c>
      <c r="P38">
        <v>2021</v>
      </c>
      <c r="Q38">
        <v>8</v>
      </c>
      <c r="R38" s="1" t="s">
        <v>512</v>
      </c>
      <c r="S38" s="1" t="s">
        <v>43</v>
      </c>
      <c r="T38" s="1" t="s">
        <v>43</v>
      </c>
      <c r="U38" s="1" t="s">
        <v>513</v>
      </c>
      <c r="V38" s="1" t="s">
        <v>173</v>
      </c>
      <c r="W38" s="1" t="s">
        <v>64</v>
      </c>
      <c r="X38" s="1" t="s">
        <v>147</v>
      </c>
      <c r="Y38" s="1"/>
      <c r="Z38" s="1" t="s">
        <v>92</v>
      </c>
      <c r="AA38" t="b">
        <v>0</v>
      </c>
      <c r="AB38" t="b">
        <v>0</v>
      </c>
      <c r="AC38" t="b">
        <v>0</v>
      </c>
      <c r="AD38" t="b">
        <v>0</v>
      </c>
      <c r="AE38" t="b">
        <v>0</v>
      </c>
      <c r="AF38" t="b">
        <v>0</v>
      </c>
      <c r="AG38" t="b">
        <v>1</v>
      </c>
      <c r="AH38" s="1" t="s">
        <v>93</v>
      </c>
    </row>
    <row r="39" spans="1:34" x14ac:dyDescent="0.25">
      <c r="A39" s="1" t="s">
        <v>603</v>
      </c>
      <c r="B39" s="1" t="s">
        <v>604</v>
      </c>
      <c r="C39">
        <v>4</v>
      </c>
      <c r="D39" s="1" t="s">
        <v>35</v>
      </c>
      <c r="E39" s="1" t="s">
        <v>36</v>
      </c>
      <c r="F39" s="1" t="s">
        <v>395</v>
      </c>
      <c r="G39" s="1" t="s">
        <v>38</v>
      </c>
      <c r="H39" s="2">
        <v>45017</v>
      </c>
      <c r="I39" s="1" t="s">
        <v>605</v>
      </c>
      <c r="J39" s="1" t="s">
        <v>397</v>
      </c>
      <c r="K39" s="1" t="s">
        <v>431</v>
      </c>
      <c r="L39" s="1">
        <v>2021</v>
      </c>
      <c r="M39" s="1" t="s">
        <v>36</v>
      </c>
      <c r="N39" s="1" t="s">
        <v>43</v>
      </c>
      <c r="O39" s="2">
        <v>44896</v>
      </c>
      <c r="P39">
        <v>2022</v>
      </c>
      <c r="Q39">
        <v>12</v>
      </c>
      <c r="R39" s="1" t="s">
        <v>606</v>
      </c>
      <c r="S39" s="1" t="s">
        <v>43</v>
      </c>
      <c r="T39" s="1" t="s">
        <v>43</v>
      </c>
      <c r="U39" s="1" t="s">
        <v>607</v>
      </c>
      <c r="V39" s="1" t="s">
        <v>138</v>
      </c>
      <c r="W39" s="1" t="s">
        <v>47</v>
      </c>
      <c r="X39" s="1" t="s">
        <v>264</v>
      </c>
      <c r="Y39" s="1"/>
      <c r="Z39" s="1" t="s">
        <v>92</v>
      </c>
      <c r="AA39" t="b">
        <v>0</v>
      </c>
      <c r="AB39" t="b">
        <v>0</v>
      </c>
      <c r="AC39" t="b">
        <v>0</v>
      </c>
      <c r="AD39" t="b">
        <v>0</v>
      </c>
      <c r="AE39" t="b">
        <v>0</v>
      </c>
      <c r="AF39" t="b">
        <v>0</v>
      </c>
      <c r="AG39" t="b">
        <v>1</v>
      </c>
      <c r="AH39" s="1" t="s">
        <v>608</v>
      </c>
    </row>
    <row r="40" spans="1:34" x14ac:dyDescent="0.25">
      <c r="A40" s="1" t="s">
        <v>514</v>
      </c>
      <c r="B40" s="1" t="s">
        <v>515</v>
      </c>
      <c r="C40">
        <v>4</v>
      </c>
      <c r="D40" s="1" t="s">
        <v>35</v>
      </c>
      <c r="E40" s="1" t="s">
        <v>36</v>
      </c>
      <c r="F40" s="1" t="s">
        <v>395</v>
      </c>
      <c r="G40" s="1" t="s">
        <v>38</v>
      </c>
      <c r="H40" s="2">
        <v>44531</v>
      </c>
      <c r="I40" s="1" t="s">
        <v>516</v>
      </c>
      <c r="J40" s="1" t="s">
        <v>397</v>
      </c>
      <c r="K40" s="1" t="s">
        <v>398</v>
      </c>
      <c r="L40" s="1">
        <v>2021</v>
      </c>
      <c r="M40" s="1" t="s">
        <v>36</v>
      </c>
      <c r="N40" s="1" t="s">
        <v>43</v>
      </c>
      <c r="O40" s="2">
        <v>44470</v>
      </c>
      <c r="P40">
        <v>2021</v>
      </c>
      <c r="Q40">
        <v>10</v>
      </c>
      <c r="R40" s="1" t="s">
        <v>517</v>
      </c>
      <c r="S40" s="1" t="s">
        <v>43</v>
      </c>
      <c r="T40" s="1" t="s">
        <v>43</v>
      </c>
      <c r="U40" s="1" t="s">
        <v>518</v>
      </c>
      <c r="V40" s="1" t="s">
        <v>160</v>
      </c>
      <c r="W40" s="1" t="s">
        <v>64</v>
      </c>
      <c r="X40" s="1" t="s">
        <v>74</v>
      </c>
      <c r="Y40" s="1"/>
      <c r="Z40" s="1" t="s">
        <v>92</v>
      </c>
      <c r="AA40" t="b">
        <v>0</v>
      </c>
      <c r="AB40" t="b">
        <v>0</v>
      </c>
      <c r="AC40" t="b">
        <v>0</v>
      </c>
      <c r="AD40" t="b">
        <v>0</v>
      </c>
      <c r="AE40" t="b">
        <v>0</v>
      </c>
      <c r="AF40" t="b">
        <v>0</v>
      </c>
      <c r="AG40" t="b">
        <v>1</v>
      </c>
      <c r="AH40" s="1" t="s">
        <v>93</v>
      </c>
    </row>
    <row r="41" spans="1:34" x14ac:dyDescent="0.25">
      <c r="A41" s="1" t="s">
        <v>542</v>
      </c>
      <c r="B41" s="1" t="s">
        <v>543</v>
      </c>
      <c r="C41">
        <v>5</v>
      </c>
      <c r="D41" s="1" t="s">
        <v>35</v>
      </c>
      <c r="E41" s="1" t="s">
        <v>36</v>
      </c>
      <c r="F41" s="1" t="s">
        <v>395</v>
      </c>
      <c r="G41" s="1" t="s">
        <v>38</v>
      </c>
      <c r="H41" s="2">
        <v>44562</v>
      </c>
      <c r="I41" s="1" t="s">
        <v>544</v>
      </c>
      <c r="J41" s="1" t="s">
        <v>397</v>
      </c>
      <c r="K41" s="1" t="s">
        <v>398</v>
      </c>
      <c r="L41" s="1">
        <v>2021</v>
      </c>
      <c r="M41" s="1" t="s">
        <v>36</v>
      </c>
      <c r="N41" s="1" t="s">
        <v>43</v>
      </c>
      <c r="O41" s="2">
        <v>44470</v>
      </c>
      <c r="P41">
        <v>2021</v>
      </c>
      <c r="Q41">
        <v>10</v>
      </c>
      <c r="R41" s="1" t="s">
        <v>545</v>
      </c>
      <c r="S41" s="1" t="s">
        <v>43</v>
      </c>
      <c r="T41" s="1" t="s">
        <v>43</v>
      </c>
      <c r="U41" s="1" t="s">
        <v>546</v>
      </c>
      <c r="V41" s="1" t="s">
        <v>160</v>
      </c>
      <c r="W41" s="1" t="s">
        <v>64</v>
      </c>
      <c r="X41" s="1" t="s">
        <v>384</v>
      </c>
      <c r="Y41" s="1"/>
      <c r="Z41" s="1" t="s">
        <v>92</v>
      </c>
      <c r="AA41" t="b">
        <v>0</v>
      </c>
      <c r="AB41" t="b">
        <v>0</v>
      </c>
      <c r="AC41" t="b">
        <v>0</v>
      </c>
      <c r="AD41" t="b">
        <v>0</v>
      </c>
      <c r="AE41" t="b">
        <v>0</v>
      </c>
      <c r="AF41" t="b">
        <v>0</v>
      </c>
      <c r="AG41" t="b">
        <v>1</v>
      </c>
      <c r="AH41" s="1" t="s">
        <v>93</v>
      </c>
    </row>
    <row r="42" spans="1:34" x14ac:dyDescent="0.25">
      <c r="A42" s="1" t="s">
        <v>579</v>
      </c>
      <c r="B42" s="1" t="s">
        <v>580</v>
      </c>
      <c r="C42">
        <v>4</v>
      </c>
      <c r="D42" s="1" t="s">
        <v>35</v>
      </c>
      <c r="E42" s="1" t="s">
        <v>36</v>
      </c>
      <c r="F42" s="1" t="s">
        <v>395</v>
      </c>
      <c r="G42" s="1" t="s">
        <v>38</v>
      </c>
      <c r="H42" s="2">
        <v>44927</v>
      </c>
      <c r="I42" s="1" t="s">
        <v>581</v>
      </c>
      <c r="J42" s="1" t="s">
        <v>397</v>
      </c>
      <c r="K42" s="1" t="s">
        <v>398</v>
      </c>
      <c r="L42" s="1">
        <v>2021</v>
      </c>
      <c r="M42" s="1" t="s">
        <v>36</v>
      </c>
      <c r="N42" s="1" t="s">
        <v>43</v>
      </c>
      <c r="O42" s="2">
        <v>44835</v>
      </c>
      <c r="P42">
        <v>2022</v>
      </c>
      <c r="Q42">
        <v>10</v>
      </c>
      <c r="R42" s="1" t="s">
        <v>582</v>
      </c>
      <c r="S42" s="1" t="s">
        <v>43</v>
      </c>
      <c r="T42" s="1" t="s">
        <v>43</v>
      </c>
      <c r="U42" s="1" t="s">
        <v>583</v>
      </c>
      <c r="V42" s="1" t="s">
        <v>160</v>
      </c>
      <c r="W42" s="1" t="s">
        <v>64</v>
      </c>
      <c r="X42" s="1" t="s">
        <v>203</v>
      </c>
      <c r="Y42" s="1"/>
      <c r="Z42" s="1" t="s">
        <v>49</v>
      </c>
      <c r="AA42" t="b">
        <v>0</v>
      </c>
      <c r="AC42" t="b">
        <v>0</v>
      </c>
      <c r="AD42" t="b">
        <v>0</v>
      </c>
      <c r="AE42" t="b">
        <v>0</v>
      </c>
      <c r="AF42" t="b">
        <v>0</v>
      </c>
      <c r="AG42" t="b">
        <v>1</v>
      </c>
      <c r="AH42" s="1" t="s">
        <v>584</v>
      </c>
    </row>
    <row r="43" spans="1:34" x14ac:dyDescent="0.25">
      <c r="A43" s="1" t="s">
        <v>626</v>
      </c>
      <c r="B43" s="1" t="s">
        <v>627</v>
      </c>
      <c r="C43">
        <v>3</v>
      </c>
      <c r="D43" s="1" t="s">
        <v>35</v>
      </c>
      <c r="E43" s="1" t="s">
        <v>36</v>
      </c>
      <c r="F43" s="1" t="s">
        <v>395</v>
      </c>
      <c r="G43" s="1" t="s">
        <v>38</v>
      </c>
      <c r="H43" s="2">
        <v>45047</v>
      </c>
      <c r="I43" s="1" t="s">
        <v>628</v>
      </c>
      <c r="J43" s="1" t="s">
        <v>397</v>
      </c>
      <c r="K43" s="1" t="s">
        <v>398</v>
      </c>
      <c r="L43" s="1">
        <v>2021</v>
      </c>
      <c r="M43" s="1" t="s">
        <v>36</v>
      </c>
      <c r="N43" s="1" t="s">
        <v>43</v>
      </c>
      <c r="O43" s="2">
        <v>44986</v>
      </c>
      <c r="P43">
        <v>2023</v>
      </c>
      <c r="Q43">
        <v>3</v>
      </c>
      <c r="R43" s="1" t="s">
        <v>629</v>
      </c>
      <c r="S43" s="1" t="s">
        <v>43</v>
      </c>
      <c r="T43" s="1" t="s">
        <v>43</v>
      </c>
      <c r="U43" s="1" t="s">
        <v>630</v>
      </c>
      <c r="V43" s="1" t="s">
        <v>535</v>
      </c>
      <c r="W43" s="1" t="s">
        <v>139</v>
      </c>
      <c r="X43" s="1" t="s">
        <v>49</v>
      </c>
      <c r="Y43" s="1"/>
      <c r="Z43" s="1" t="s">
        <v>92</v>
      </c>
      <c r="AA43" t="b">
        <v>0</v>
      </c>
      <c r="AB43" t="b">
        <v>0</v>
      </c>
      <c r="AC43" t="b">
        <v>0</v>
      </c>
      <c r="AD43" t="b">
        <v>0</v>
      </c>
      <c r="AE43" t="b">
        <v>0</v>
      </c>
      <c r="AF43" t="b">
        <v>0</v>
      </c>
      <c r="AG43" t="b">
        <v>0</v>
      </c>
      <c r="AH43" s="1" t="s">
        <v>631</v>
      </c>
    </row>
    <row r="44" spans="1:34" x14ac:dyDescent="0.25">
      <c r="A44" s="1" t="s">
        <v>525</v>
      </c>
      <c r="B44" s="1" t="s">
        <v>526</v>
      </c>
      <c r="C44">
        <v>1</v>
      </c>
      <c r="D44" s="1" t="s">
        <v>104</v>
      </c>
      <c r="E44" s="1" t="s">
        <v>36</v>
      </c>
      <c r="F44" s="1" t="s">
        <v>395</v>
      </c>
      <c r="G44" s="1" t="s">
        <v>120</v>
      </c>
      <c r="H44" s="2">
        <v>46082</v>
      </c>
      <c r="I44" s="1" t="s">
        <v>527</v>
      </c>
      <c r="J44" s="1" t="s">
        <v>397</v>
      </c>
      <c r="K44" s="1" t="s">
        <v>412</v>
      </c>
      <c r="L44" s="1">
        <v>2021</v>
      </c>
      <c r="M44" s="1" t="s">
        <v>36</v>
      </c>
      <c r="N44" s="1" t="s">
        <v>460</v>
      </c>
      <c r="O44" s="2">
        <v>46054</v>
      </c>
      <c r="P44">
        <v>2026</v>
      </c>
      <c r="Q44">
        <v>2</v>
      </c>
      <c r="R44" s="1" t="s">
        <v>528</v>
      </c>
      <c r="S44" s="1" t="s">
        <v>43</v>
      </c>
      <c r="T44" s="1" t="s">
        <v>43</v>
      </c>
      <c r="U44" s="1" t="s">
        <v>529</v>
      </c>
      <c r="V44" s="1" t="s">
        <v>138</v>
      </c>
      <c r="W44" s="1" t="s">
        <v>64</v>
      </c>
      <c r="X44" s="1" t="s">
        <v>795</v>
      </c>
      <c r="Y44" s="1"/>
      <c r="Z44" s="1" t="s">
        <v>92</v>
      </c>
      <c r="AA44" t="b">
        <v>0</v>
      </c>
      <c r="AB44" t="b">
        <v>1</v>
      </c>
      <c r="AC44" t="b">
        <v>1</v>
      </c>
      <c r="AD44" t="b">
        <v>0</v>
      </c>
      <c r="AE44" t="b">
        <v>1</v>
      </c>
      <c r="AF44" t="b">
        <v>0</v>
      </c>
      <c r="AG44" t="b">
        <v>0</v>
      </c>
      <c r="AH44" s="1" t="s">
        <v>93</v>
      </c>
    </row>
    <row r="45" spans="1:34" x14ac:dyDescent="0.25">
      <c r="A45" s="1" t="s">
        <v>585</v>
      </c>
      <c r="B45" s="1" t="s">
        <v>586</v>
      </c>
      <c r="C45">
        <v>2</v>
      </c>
      <c r="D45" s="1" t="s">
        <v>35</v>
      </c>
      <c r="E45" s="1" t="s">
        <v>36</v>
      </c>
      <c r="F45" s="1" t="s">
        <v>395</v>
      </c>
      <c r="G45" s="1" t="s">
        <v>177</v>
      </c>
      <c r="H45" s="2">
        <v>44896</v>
      </c>
      <c r="I45" s="1" t="s">
        <v>587</v>
      </c>
      <c r="J45" s="1" t="s">
        <v>397</v>
      </c>
      <c r="K45" s="1" t="s">
        <v>412</v>
      </c>
      <c r="L45" s="1">
        <v>2021</v>
      </c>
      <c r="M45" s="1" t="s">
        <v>36</v>
      </c>
      <c r="N45" s="1" t="s">
        <v>43</v>
      </c>
      <c r="O45" s="2">
        <v>44713</v>
      </c>
      <c r="P45">
        <v>2022</v>
      </c>
      <c r="Q45">
        <v>6</v>
      </c>
      <c r="R45" s="1" t="s">
        <v>588</v>
      </c>
      <c r="S45" s="1" t="s">
        <v>43</v>
      </c>
      <c r="T45" s="1" t="s">
        <v>43</v>
      </c>
      <c r="U45" s="1" t="s">
        <v>589</v>
      </c>
      <c r="V45" s="1" t="s">
        <v>391</v>
      </c>
      <c r="W45" s="1" t="s">
        <v>64</v>
      </c>
      <c r="X45" s="1" t="s">
        <v>384</v>
      </c>
      <c r="Y45" s="1"/>
      <c r="Z45" s="1" t="s">
        <v>65</v>
      </c>
      <c r="AA45" t="b">
        <v>0</v>
      </c>
      <c r="AB45" t="b">
        <v>0</v>
      </c>
      <c r="AC45" t="b">
        <v>0</v>
      </c>
      <c r="AD45" t="b">
        <v>0</v>
      </c>
      <c r="AE45" t="b">
        <v>0</v>
      </c>
      <c r="AF45" t="b">
        <v>0</v>
      </c>
      <c r="AG45" t="b">
        <v>0</v>
      </c>
      <c r="AH45" s="1" t="s">
        <v>590</v>
      </c>
    </row>
    <row r="46" spans="1:34" x14ac:dyDescent="0.25">
      <c r="A46" s="1" t="s">
        <v>609</v>
      </c>
      <c r="B46" s="1" t="s">
        <v>610</v>
      </c>
      <c r="C46">
        <v>4</v>
      </c>
      <c r="D46" s="1" t="s">
        <v>35</v>
      </c>
      <c r="E46" s="1" t="s">
        <v>36</v>
      </c>
      <c r="F46" s="1" t="s">
        <v>395</v>
      </c>
      <c r="G46" s="1" t="s">
        <v>38</v>
      </c>
      <c r="H46" s="2">
        <v>45017</v>
      </c>
      <c r="I46" s="1" t="s">
        <v>611</v>
      </c>
      <c r="J46" s="1" t="s">
        <v>397</v>
      </c>
      <c r="K46" s="1" t="s">
        <v>412</v>
      </c>
      <c r="L46" s="1">
        <v>2021</v>
      </c>
      <c r="M46" s="1" t="s">
        <v>36</v>
      </c>
      <c r="N46" s="1" t="s">
        <v>43</v>
      </c>
      <c r="O46" s="2">
        <v>44958</v>
      </c>
      <c r="P46">
        <v>2023</v>
      </c>
      <c r="Q46">
        <v>2</v>
      </c>
      <c r="R46" s="1" t="s">
        <v>612</v>
      </c>
      <c r="S46" s="1" t="s">
        <v>43</v>
      </c>
      <c r="T46" s="1" t="s">
        <v>43</v>
      </c>
      <c r="U46" s="1" t="s">
        <v>613</v>
      </c>
      <c r="V46" s="1" t="s">
        <v>131</v>
      </c>
      <c r="W46" s="1" t="s">
        <v>139</v>
      </c>
      <c r="X46" s="1" t="s">
        <v>147</v>
      </c>
      <c r="Y46" s="1"/>
      <c r="Z46" s="1" t="s">
        <v>65</v>
      </c>
      <c r="AA46" t="b">
        <v>0</v>
      </c>
      <c r="AB46" t="b">
        <v>0</v>
      </c>
      <c r="AC46" t="b">
        <v>0</v>
      </c>
      <c r="AD46" t="b">
        <v>0</v>
      </c>
      <c r="AE46" t="b">
        <v>0</v>
      </c>
      <c r="AF46" t="b">
        <v>0</v>
      </c>
      <c r="AG46" t="b">
        <v>0</v>
      </c>
      <c r="AH46" s="1" t="s">
        <v>93</v>
      </c>
    </row>
    <row r="47" spans="1:34" x14ac:dyDescent="0.25">
      <c r="A47" s="1" t="s">
        <v>614</v>
      </c>
      <c r="B47" s="1" t="s">
        <v>615</v>
      </c>
      <c r="C47">
        <v>3</v>
      </c>
      <c r="D47" s="1" t="s">
        <v>35</v>
      </c>
      <c r="E47" s="1" t="s">
        <v>36</v>
      </c>
      <c r="F47" s="1" t="s">
        <v>395</v>
      </c>
      <c r="G47" s="1" t="s">
        <v>38</v>
      </c>
      <c r="H47" s="2">
        <v>45017</v>
      </c>
      <c r="I47" s="1" t="s">
        <v>616</v>
      </c>
      <c r="J47" s="1" t="s">
        <v>397</v>
      </c>
      <c r="K47" s="1" t="s">
        <v>412</v>
      </c>
      <c r="L47" s="1">
        <v>2021</v>
      </c>
      <c r="M47" s="1" t="s">
        <v>36</v>
      </c>
      <c r="N47" s="1" t="s">
        <v>43</v>
      </c>
      <c r="O47" s="2">
        <v>44866</v>
      </c>
      <c r="P47">
        <v>2022</v>
      </c>
      <c r="Q47">
        <v>11</v>
      </c>
      <c r="R47" s="1" t="s">
        <v>617</v>
      </c>
      <c r="S47" s="1" t="s">
        <v>43</v>
      </c>
      <c r="T47" s="1" t="s">
        <v>43</v>
      </c>
      <c r="U47" s="1" t="s">
        <v>618</v>
      </c>
      <c r="V47" s="1" t="s">
        <v>131</v>
      </c>
      <c r="W47" s="1" t="s">
        <v>64</v>
      </c>
      <c r="X47" s="1" t="s">
        <v>795</v>
      </c>
      <c r="Y47" s="1"/>
      <c r="Z47" s="1" t="s">
        <v>204</v>
      </c>
      <c r="AA47" t="b">
        <v>0</v>
      </c>
      <c r="AB47" t="b">
        <v>0</v>
      </c>
      <c r="AC47" t="b">
        <v>0</v>
      </c>
      <c r="AD47" t="b">
        <v>0</v>
      </c>
      <c r="AE47" t="b">
        <v>0</v>
      </c>
      <c r="AF47" t="b">
        <v>0</v>
      </c>
      <c r="AG47" t="b">
        <v>1</v>
      </c>
      <c r="AH47" s="1" t="s">
        <v>619</v>
      </c>
    </row>
    <row r="48" spans="1:34" x14ac:dyDescent="0.25">
      <c r="A48" s="1" t="s">
        <v>167</v>
      </c>
      <c r="B48" s="1" t="s">
        <v>168</v>
      </c>
      <c r="C48">
        <v>4</v>
      </c>
      <c r="D48" s="1" t="s">
        <v>35</v>
      </c>
      <c r="E48" s="1" t="s">
        <v>36</v>
      </c>
      <c r="F48" s="1" t="s">
        <v>85</v>
      </c>
      <c r="G48" s="1" t="s">
        <v>38</v>
      </c>
      <c r="H48" s="2">
        <v>44774</v>
      </c>
      <c r="I48" s="1" t="s">
        <v>169</v>
      </c>
      <c r="J48" s="1" t="s">
        <v>87</v>
      </c>
      <c r="K48" s="1" t="s">
        <v>170</v>
      </c>
      <c r="L48" s="1">
        <v>2022</v>
      </c>
      <c r="M48" s="1" t="s">
        <v>42</v>
      </c>
      <c r="N48" s="1" t="s">
        <v>43</v>
      </c>
      <c r="O48" s="2">
        <v>44713</v>
      </c>
      <c r="P48">
        <v>2022</v>
      </c>
      <c r="Q48">
        <v>6</v>
      </c>
      <c r="R48" s="1" t="s">
        <v>171</v>
      </c>
      <c r="S48" s="1" t="s">
        <v>43</v>
      </c>
      <c r="T48" s="1" t="s">
        <v>43</v>
      </c>
      <c r="U48" s="1" t="s">
        <v>172</v>
      </c>
      <c r="V48" s="1" t="s">
        <v>173</v>
      </c>
      <c r="W48" s="1" t="s">
        <v>64</v>
      </c>
      <c r="X48" s="1" t="s">
        <v>147</v>
      </c>
      <c r="Y48" s="1"/>
      <c r="Z48" s="1" t="s">
        <v>92</v>
      </c>
      <c r="AA48" t="b">
        <v>0</v>
      </c>
      <c r="AB48" t="b">
        <v>0</v>
      </c>
      <c r="AC48" t="b">
        <v>0</v>
      </c>
      <c r="AD48" t="b">
        <v>0</v>
      </c>
      <c r="AE48" t="b">
        <v>0</v>
      </c>
      <c r="AF48" t="b">
        <v>0</v>
      </c>
      <c r="AG48" t="b">
        <v>0</v>
      </c>
      <c r="AH48" s="1" t="s">
        <v>174</v>
      </c>
    </row>
    <row r="49" spans="1:34" x14ac:dyDescent="0.25">
      <c r="A49" s="1" t="s">
        <v>238</v>
      </c>
      <c r="B49" s="1" t="s">
        <v>239</v>
      </c>
      <c r="C49">
        <v>3</v>
      </c>
      <c r="D49" s="1" t="s">
        <v>35</v>
      </c>
      <c r="E49" s="1" t="s">
        <v>36</v>
      </c>
      <c r="F49" s="1" t="s">
        <v>85</v>
      </c>
      <c r="G49" s="1" t="s">
        <v>38</v>
      </c>
      <c r="H49" s="2">
        <v>45627</v>
      </c>
      <c r="I49" s="1" t="s">
        <v>240</v>
      </c>
      <c r="J49" s="1" t="s">
        <v>87</v>
      </c>
      <c r="K49" s="1" t="s">
        <v>208</v>
      </c>
      <c r="L49" s="1">
        <v>2022</v>
      </c>
      <c r="M49" s="1" t="s">
        <v>42</v>
      </c>
      <c r="N49" s="1" t="s">
        <v>43</v>
      </c>
      <c r="O49" s="2">
        <v>45566</v>
      </c>
      <c r="P49">
        <v>2024</v>
      </c>
      <c r="Q49">
        <v>10</v>
      </c>
      <c r="R49" s="1" t="s">
        <v>241</v>
      </c>
      <c r="S49" s="1" t="s">
        <v>43</v>
      </c>
      <c r="T49" s="1" t="s">
        <v>43</v>
      </c>
      <c r="U49" s="1" t="s">
        <v>242</v>
      </c>
      <c r="V49" s="1" t="s">
        <v>160</v>
      </c>
      <c r="W49" s="1" t="s">
        <v>64</v>
      </c>
      <c r="X49" s="1" t="s">
        <v>48</v>
      </c>
      <c r="Y49" s="1"/>
      <c r="Z49" s="1" t="s">
        <v>65</v>
      </c>
      <c r="AA49" t="b">
        <v>0</v>
      </c>
      <c r="AB49" t="b">
        <v>0</v>
      </c>
      <c r="AC49" t="b">
        <v>0</v>
      </c>
      <c r="AD49" t="b">
        <v>0</v>
      </c>
      <c r="AE49" t="b">
        <v>0</v>
      </c>
      <c r="AF49" t="b">
        <v>0</v>
      </c>
      <c r="AG49" t="b">
        <v>0</v>
      </c>
      <c r="AH49" s="1" t="s">
        <v>93</v>
      </c>
    </row>
    <row r="50" spans="1:34" x14ac:dyDescent="0.25">
      <c r="A50" s="1" t="s">
        <v>184</v>
      </c>
      <c r="B50" s="1" t="s">
        <v>185</v>
      </c>
      <c r="C50">
        <v>4</v>
      </c>
      <c r="D50" s="1" t="s">
        <v>35</v>
      </c>
      <c r="E50" s="1" t="s">
        <v>36</v>
      </c>
      <c r="F50" s="1" t="s">
        <v>85</v>
      </c>
      <c r="G50" s="1" t="s">
        <v>38</v>
      </c>
      <c r="H50" s="2">
        <v>44958</v>
      </c>
      <c r="I50" s="1" t="s">
        <v>186</v>
      </c>
      <c r="J50" s="1" t="s">
        <v>87</v>
      </c>
      <c r="K50" s="1" t="s">
        <v>106</v>
      </c>
      <c r="L50" s="1">
        <v>2022</v>
      </c>
      <c r="M50" s="1" t="s">
        <v>36</v>
      </c>
      <c r="N50" s="1" t="s">
        <v>43</v>
      </c>
      <c r="O50" s="2">
        <v>44896</v>
      </c>
      <c r="P50">
        <v>2022</v>
      </c>
      <c r="Q50">
        <v>12</v>
      </c>
      <c r="R50" s="1" t="s">
        <v>187</v>
      </c>
      <c r="S50" s="1" t="s">
        <v>43</v>
      </c>
      <c r="T50" s="1" t="s">
        <v>43</v>
      </c>
      <c r="U50" s="1" t="s">
        <v>188</v>
      </c>
      <c r="V50" s="1" t="s">
        <v>160</v>
      </c>
      <c r="W50" s="1" t="s">
        <v>64</v>
      </c>
      <c r="X50" s="1" t="s">
        <v>48</v>
      </c>
      <c r="Y50" s="1"/>
      <c r="Z50" s="1" t="s">
        <v>92</v>
      </c>
      <c r="AA50" t="b">
        <v>0</v>
      </c>
      <c r="AB50" t="b">
        <v>0</v>
      </c>
      <c r="AC50" t="b">
        <v>0</v>
      </c>
      <c r="AD50" t="b">
        <v>0</v>
      </c>
      <c r="AE50" t="b">
        <v>0</v>
      </c>
      <c r="AF50" t="b">
        <v>0</v>
      </c>
      <c r="AG50" t="b">
        <v>0</v>
      </c>
      <c r="AH50" s="1" t="s">
        <v>189</v>
      </c>
    </row>
    <row r="51" spans="1:34" x14ac:dyDescent="0.25">
      <c r="A51" s="1" t="s">
        <v>197</v>
      </c>
      <c r="B51" s="1" t="s">
        <v>198</v>
      </c>
      <c r="C51">
        <v>4</v>
      </c>
      <c r="D51" s="1" t="s">
        <v>35</v>
      </c>
      <c r="E51" s="1" t="s">
        <v>36</v>
      </c>
      <c r="F51" s="1" t="s">
        <v>85</v>
      </c>
      <c r="G51" s="1" t="s">
        <v>38</v>
      </c>
      <c r="H51" s="2">
        <v>45047</v>
      </c>
      <c r="I51" s="1" t="s">
        <v>199</v>
      </c>
      <c r="J51" s="1" t="s">
        <v>87</v>
      </c>
      <c r="K51" s="1" t="s">
        <v>200</v>
      </c>
      <c r="L51" s="1">
        <v>2022</v>
      </c>
      <c r="M51" s="1" t="s">
        <v>36</v>
      </c>
      <c r="N51" s="1" t="s">
        <v>43</v>
      </c>
      <c r="O51" s="2">
        <v>44986</v>
      </c>
      <c r="P51">
        <v>2023</v>
      </c>
      <c r="Q51">
        <v>3</v>
      </c>
      <c r="R51" s="1" t="s">
        <v>201</v>
      </c>
      <c r="S51" s="1" t="s">
        <v>43</v>
      </c>
      <c r="T51" s="1" t="s">
        <v>43</v>
      </c>
      <c r="U51" s="1" t="s">
        <v>202</v>
      </c>
      <c r="V51" s="1" t="s">
        <v>63</v>
      </c>
      <c r="W51" s="1" t="s">
        <v>64</v>
      </c>
      <c r="X51" s="1" t="s">
        <v>203</v>
      </c>
      <c r="Y51" s="1"/>
      <c r="Z51" s="1" t="s">
        <v>204</v>
      </c>
      <c r="AA51" t="b">
        <v>0</v>
      </c>
      <c r="AB51" t="b">
        <v>0</v>
      </c>
      <c r="AC51" t="b">
        <v>0</v>
      </c>
      <c r="AD51" t="b">
        <v>0</v>
      </c>
      <c r="AE51" t="b">
        <v>0</v>
      </c>
      <c r="AF51" t="b">
        <v>0</v>
      </c>
      <c r="AG51" t="b">
        <v>0</v>
      </c>
      <c r="AH51" s="1" t="s">
        <v>93</v>
      </c>
    </row>
    <row r="52" spans="1:34" x14ac:dyDescent="0.25">
      <c r="A52" s="1" t="s">
        <v>352</v>
      </c>
      <c r="B52" s="1" t="s">
        <v>353</v>
      </c>
      <c r="C52">
        <v>2</v>
      </c>
      <c r="D52" s="1" t="s">
        <v>35</v>
      </c>
      <c r="E52" s="1" t="s">
        <v>36</v>
      </c>
      <c r="F52" s="1" t="s">
        <v>316</v>
      </c>
      <c r="G52" s="1" t="s">
        <v>177</v>
      </c>
      <c r="H52" s="2">
        <v>44774</v>
      </c>
      <c r="I52" s="1" t="s">
        <v>354</v>
      </c>
      <c r="J52" s="1" t="s">
        <v>355</v>
      </c>
      <c r="K52" s="1" t="s">
        <v>326</v>
      </c>
      <c r="L52" s="1">
        <v>2022</v>
      </c>
      <c r="M52" s="1" t="s">
        <v>36</v>
      </c>
      <c r="N52" s="1" t="s">
        <v>43</v>
      </c>
      <c r="O52" s="2">
        <v>44743</v>
      </c>
      <c r="P52">
        <v>2022</v>
      </c>
      <c r="Q52">
        <v>7</v>
      </c>
      <c r="R52" s="1" t="s">
        <v>356</v>
      </c>
      <c r="S52" s="1" t="s">
        <v>43</v>
      </c>
      <c r="T52" s="1" t="s">
        <v>43</v>
      </c>
      <c r="U52" s="1" t="s">
        <v>357</v>
      </c>
      <c r="V52" s="1" t="s">
        <v>358</v>
      </c>
      <c r="W52" s="1" t="s">
        <v>64</v>
      </c>
      <c r="X52" s="1" t="s">
        <v>795</v>
      </c>
      <c r="Y52" s="1"/>
      <c r="Z52" s="1" t="s">
        <v>65</v>
      </c>
      <c r="AA52" t="b">
        <v>0</v>
      </c>
      <c r="AB52" t="b">
        <v>0</v>
      </c>
      <c r="AC52" t="b">
        <v>0</v>
      </c>
      <c r="AD52" t="b">
        <v>0</v>
      </c>
      <c r="AE52" t="b">
        <v>0</v>
      </c>
      <c r="AF52" t="b">
        <v>0</v>
      </c>
      <c r="AG52" t="b">
        <v>0</v>
      </c>
      <c r="AH52" s="1" t="s">
        <v>359</v>
      </c>
    </row>
    <row r="53" spans="1:34" x14ac:dyDescent="0.25">
      <c r="A53" s="1" t="s">
        <v>366</v>
      </c>
      <c r="B53" s="1" t="s">
        <v>367</v>
      </c>
      <c r="C53">
        <v>2</v>
      </c>
      <c r="D53" s="1" t="s">
        <v>35</v>
      </c>
      <c r="E53" s="1" t="s">
        <v>36</v>
      </c>
      <c r="F53" s="1" t="s">
        <v>316</v>
      </c>
      <c r="G53" s="1" t="s">
        <v>177</v>
      </c>
      <c r="H53" s="2">
        <v>44866</v>
      </c>
      <c r="I53" s="1" t="s">
        <v>368</v>
      </c>
      <c r="J53" s="1" t="s">
        <v>355</v>
      </c>
      <c r="K53" s="1" t="s">
        <v>326</v>
      </c>
      <c r="L53" s="1">
        <v>2022</v>
      </c>
      <c r="M53" s="1" t="s">
        <v>42</v>
      </c>
      <c r="N53" s="1" t="s">
        <v>43</v>
      </c>
      <c r="O53" s="2">
        <v>44835</v>
      </c>
      <c r="P53">
        <v>2022</v>
      </c>
      <c r="Q53">
        <v>10</v>
      </c>
      <c r="R53" s="1" t="s">
        <v>369</v>
      </c>
      <c r="S53" s="1" t="s">
        <v>43</v>
      </c>
      <c r="T53" s="1" t="s">
        <v>43</v>
      </c>
      <c r="U53" s="1" t="s">
        <v>43</v>
      </c>
      <c r="V53" s="1" t="s">
        <v>370</v>
      </c>
      <c r="W53" s="1" t="s">
        <v>64</v>
      </c>
      <c r="X53" s="1" t="s">
        <v>795</v>
      </c>
      <c r="Y53" s="1"/>
      <c r="Z53" s="1" t="s">
        <v>49</v>
      </c>
      <c r="AA53" t="b">
        <v>0</v>
      </c>
      <c r="AC53" t="b">
        <v>0</v>
      </c>
      <c r="AD53" t="b">
        <v>0</v>
      </c>
      <c r="AE53" t="b">
        <v>0</v>
      </c>
      <c r="AF53" t="b">
        <v>0</v>
      </c>
      <c r="AG53" t="b">
        <v>0</v>
      </c>
      <c r="AH53" s="1" t="s">
        <v>371</v>
      </c>
    </row>
    <row r="54" spans="1:34" x14ac:dyDescent="0.25">
      <c r="A54" s="1" t="s">
        <v>372</v>
      </c>
      <c r="B54" s="1" t="s">
        <v>373</v>
      </c>
      <c r="C54">
        <v>4</v>
      </c>
      <c r="D54" s="1" t="s">
        <v>35</v>
      </c>
      <c r="E54" s="1" t="s">
        <v>36</v>
      </c>
      <c r="F54" s="1" t="s">
        <v>316</v>
      </c>
      <c r="G54" s="1" t="s">
        <v>38</v>
      </c>
      <c r="H54" s="2">
        <v>45017</v>
      </c>
      <c r="I54" s="1" t="s">
        <v>374</v>
      </c>
      <c r="J54" s="1" t="s">
        <v>355</v>
      </c>
      <c r="K54" s="1" t="s">
        <v>326</v>
      </c>
      <c r="L54" s="1">
        <v>2022</v>
      </c>
      <c r="M54" s="1" t="s">
        <v>36</v>
      </c>
      <c r="N54" s="1" t="s">
        <v>43</v>
      </c>
      <c r="O54" s="2">
        <v>44927</v>
      </c>
      <c r="P54">
        <v>2023</v>
      </c>
      <c r="Q54">
        <v>1</v>
      </c>
      <c r="R54" s="1" t="s">
        <v>375</v>
      </c>
      <c r="S54" s="1" t="s">
        <v>43</v>
      </c>
      <c r="T54" s="1" t="s">
        <v>43</v>
      </c>
      <c r="U54" s="1" t="s">
        <v>376</v>
      </c>
      <c r="V54" s="1" t="s">
        <v>377</v>
      </c>
      <c r="W54" s="1" t="s">
        <v>64</v>
      </c>
      <c r="X54" s="1" t="s">
        <v>147</v>
      </c>
      <c r="Y54" s="1"/>
      <c r="Z54" s="1" t="s">
        <v>65</v>
      </c>
      <c r="AA54" t="b">
        <v>0</v>
      </c>
      <c r="AB54" t="b">
        <v>0</v>
      </c>
      <c r="AC54" t="b">
        <v>0</v>
      </c>
      <c r="AD54" t="b">
        <v>0</v>
      </c>
      <c r="AE54" t="b">
        <v>0</v>
      </c>
      <c r="AF54" t="b">
        <v>0</v>
      </c>
      <c r="AG54" t="b">
        <v>0</v>
      </c>
      <c r="AH54" s="1" t="s">
        <v>378</v>
      </c>
    </row>
    <row r="55" spans="1:34" x14ac:dyDescent="0.25">
      <c r="A55" s="1" t="s">
        <v>33</v>
      </c>
      <c r="B55" s="1" t="s">
        <v>34</v>
      </c>
      <c r="C55">
        <v>4</v>
      </c>
      <c r="D55" s="1" t="s">
        <v>35</v>
      </c>
      <c r="E55" s="1" t="s">
        <v>36</v>
      </c>
      <c r="F55" s="1" t="s">
        <v>37</v>
      </c>
      <c r="G55" s="1" t="s">
        <v>38</v>
      </c>
      <c r="H55" s="2">
        <v>44774</v>
      </c>
      <c r="I55" s="1" t="s">
        <v>39</v>
      </c>
      <c r="J55" s="1" t="s">
        <v>40</v>
      </c>
      <c r="K55" s="1" t="s">
        <v>41</v>
      </c>
      <c r="L55" s="1">
        <v>2022</v>
      </c>
      <c r="M55" s="1" t="s">
        <v>42</v>
      </c>
      <c r="N55" s="1" t="s">
        <v>43</v>
      </c>
      <c r="O55" s="2">
        <v>44501</v>
      </c>
      <c r="P55">
        <v>2021</v>
      </c>
      <c r="Q55">
        <v>11</v>
      </c>
      <c r="R55" s="1" t="s">
        <v>44</v>
      </c>
      <c r="S55" s="1" t="s">
        <v>43</v>
      </c>
      <c r="T55" s="1" t="s">
        <v>43</v>
      </c>
      <c r="U55" s="1" t="s">
        <v>45</v>
      </c>
      <c r="V55" s="1" t="s">
        <v>46</v>
      </c>
      <c r="W55" s="1" t="s">
        <v>47</v>
      </c>
      <c r="X55" s="1" t="s">
        <v>48</v>
      </c>
      <c r="Y55" s="1"/>
      <c r="Z55" s="1" t="s">
        <v>49</v>
      </c>
      <c r="AA55" t="b">
        <v>0</v>
      </c>
      <c r="AC55" t="b">
        <v>0</v>
      </c>
      <c r="AD55" t="b">
        <v>0</v>
      </c>
      <c r="AE55" t="b">
        <v>0</v>
      </c>
      <c r="AF55" t="b">
        <v>0</v>
      </c>
      <c r="AG55" t="b">
        <v>0</v>
      </c>
      <c r="AH55" s="1" t="s">
        <v>50</v>
      </c>
    </row>
    <row r="56" spans="1:34" x14ac:dyDescent="0.25">
      <c r="A56" s="1" t="s">
        <v>51</v>
      </c>
      <c r="B56" s="1" t="s">
        <v>52</v>
      </c>
      <c r="C56">
        <v>1</v>
      </c>
      <c r="D56" s="1" t="s">
        <v>35</v>
      </c>
      <c r="E56" s="1" t="s">
        <v>53</v>
      </c>
      <c r="F56" s="1" t="s">
        <v>37</v>
      </c>
      <c r="G56" s="1" t="s">
        <v>54</v>
      </c>
      <c r="H56" s="2">
        <v>44682</v>
      </c>
      <c r="I56" s="1" t="s">
        <v>39</v>
      </c>
      <c r="J56" s="1" t="s">
        <v>40</v>
      </c>
      <c r="K56" s="1" t="s">
        <v>41</v>
      </c>
      <c r="L56" s="1">
        <v>2022</v>
      </c>
      <c r="M56" s="1" t="s">
        <v>42</v>
      </c>
      <c r="N56" s="1" t="s">
        <v>43</v>
      </c>
      <c r="O56" s="2">
        <v>44501</v>
      </c>
      <c r="P56">
        <v>2021</v>
      </c>
      <c r="Q56">
        <v>11</v>
      </c>
      <c r="R56" s="1" t="s">
        <v>44</v>
      </c>
      <c r="S56" s="1" t="s">
        <v>43</v>
      </c>
      <c r="T56" s="1" t="s">
        <v>43</v>
      </c>
      <c r="U56" s="1" t="s">
        <v>55</v>
      </c>
      <c r="V56" s="1" t="s">
        <v>46</v>
      </c>
      <c r="W56" s="1" t="s">
        <v>47</v>
      </c>
      <c r="X56" s="1" t="s">
        <v>48</v>
      </c>
      <c r="Y56" s="1"/>
      <c r="Z56" s="1" t="s">
        <v>49</v>
      </c>
      <c r="AA56" t="b">
        <v>0</v>
      </c>
      <c r="AC56" t="b">
        <v>0</v>
      </c>
      <c r="AD56" t="b">
        <v>0</v>
      </c>
      <c r="AE56" t="b">
        <v>0</v>
      </c>
      <c r="AF56" t="b">
        <v>0</v>
      </c>
      <c r="AG56" t="b">
        <v>0</v>
      </c>
      <c r="AH56" s="1" t="s">
        <v>56</v>
      </c>
    </row>
    <row r="57" spans="1:34" x14ac:dyDescent="0.25">
      <c r="A57" s="1" t="s">
        <v>67</v>
      </c>
      <c r="B57" s="1" t="s">
        <v>68</v>
      </c>
      <c r="C57">
        <v>1</v>
      </c>
      <c r="D57" s="1" t="s">
        <v>35</v>
      </c>
      <c r="E57" s="1" t="s">
        <v>36</v>
      </c>
      <c r="F57" s="1" t="s">
        <v>37</v>
      </c>
      <c r="G57" s="1" t="s">
        <v>69</v>
      </c>
      <c r="H57" s="2">
        <v>44866</v>
      </c>
      <c r="I57" s="1" t="s">
        <v>70</v>
      </c>
      <c r="J57" s="1" t="s">
        <v>40</v>
      </c>
      <c r="K57" s="1" t="s">
        <v>41</v>
      </c>
      <c r="L57" s="1">
        <v>2022</v>
      </c>
      <c r="M57" s="1" t="s">
        <v>36</v>
      </c>
      <c r="N57" s="1" t="s">
        <v>43</v>
      </c>
      <c r="O57" s="2">
        <v>44835</v>
      </c>
      <c r="P57">
        <v>2022</v>
      </c>
      <c r="Q57">
        <v>10</v>
      </c>
      <c r="R57" s="1" t="s">
        <v>71</v>
      </c>
      <c r="S57" s="1" t="s">
        <v>43</v>
      </c>
      <c r="T57" s="1" t="s">
        <v>43</v>
      </c>
      <c r="U57" s="1" t="s">
        <v>72</v>
      </c>
      <c r="V57" s="1" t="s">
        <v>73</v>
      </c>
      <c r="W57" s="1" t="s">
        <v>64</v>
      </c>
      <c r="X57" s="1" t="s">
        <v>74</v>
      </c>
      <c r="Y57" s="1"/>
      <c r="Z57" s="1" t="s">
        <v>49</v>
      </c>
      <c r="AA57" t="b">
        <v>0</v>
      </c>
      <c r="AC57" t="b">
        <v>0</v>
      </c>
      <c r="AD57" t="b">
        <v>0</v>
      </c>
      <c r="AE57" t="b">
        <v>0</v>
      </c>
      <c r="AF57" t="b">
        <v>0</v>
      </c>
      <c r="AG57" t="b">
        <v>1</v>
      </c>
      <c r="AH57" s="1" t="s">
        <v>75</v>
      </c>
    </row>
    <row r="58" spans="1:34" x14ac:dyDescent="0.25">
      <c r="A58" s="1" t="s">
        <v>76</v>
      </c>
      <c r="B58" s="1" t="s">
        <v>77</v>
      </c>
      <c r="C58">
        <v>2</v>
      </c>
      <c r="D58" s="1" t="s">
        <v>35</v>
      </c>
      <c r="E58" s="1" t="s">
        <v>36</v>
      </c>
      <c r="F58" s="1" t="s">
        <v>37</v>
      </c>
      <c r="G58" s="1" t="s">
        <v>38</v>
      </c>
      <c r="H58" s="2">
        <v>45505</v>
      </c>
      <c r="I58" s="1" t="s">
        <v>78</v>
      </c>
      <c r="J58" s="1" t="s">
        <v>40</v>
      </c>
      <c r="K58" s="1" t="s">
        <v>60</v>
      </c>
      <c r="L58" s="1">
        <v>2022</v>
      </c>
      <c r="M58" s="1" t="s">
        <v>42</v>
      </c>
      <c r="N58" s="1" t="s">
        <v>43</v>
      </c>
      <c r="O58" s="2">
        <v>44896</v>
      </c>
      <c r="P58">
        <v>2022</v>
      </c>
      <c r="Q58">
        <v>12</v>
      </c>
      <c r="R58" s="1" t="s">
        <v>79</v>
      </c>
      <c r="S58" s="1" t="s">
        <v>43</v>
      </c>
      <c r="T58" s="1" t="s">
        <v>43</v>
      </c>
      <c r="U58" s="1" t="s">
        <v>80</v>
      </c>
      <c r="V58" s="1" t="s">
        <v>81</v>
      </c>
      <c r="W58" s="1" t="s">
        <v>64</v>
      </c>
      <c r="X58" s="1" t="s">
        <v>48</v>
      </c>
      <c r="Y58" s="1"/>
      <c r="Z58" s="1" t="s">
        <v>65</v>
      </c>
      <c r="AA58" t="b">
        <v>0</v>
      </c>
      <c r="AB58" t="b">
        <v>0</v>
      </c>
      <c r="AC58" t="b">
        <v>0</v>
      </c>
      <c r="AD58" t="b">
        <v>0</v>
      </c>
      <c r="AE58" t="b">
        <v>0</v>
      </c>
      <c r="AF58" t="b">
        <v>0</v>
      </c>
      <c r="AG58" t="b">
        <v>1</v>
      </c>
      <c r="AH58" s="1" t="s">
        <v>82</v>
      </c>
    </row>
    <row r="59" spans="1:34" x14ac:dyDescent="0.25">
      <c r="A59" s="1" t="s">
        <v>265</v>
      </c>
      <c r="B59" s="1" t="s">
        <v>266</v>
      </c>
      <c r="C59">
        <v>3</v>
      </c>
      <c r="D59" s="1" t="s">
        <v>35</v>
      </c>
      <c r="E59" s="1" t="s">
        <v>36</v>
      </c>
      <c r="F59" s="1" t="s">
        <v>267</v>
      </c>
      <c r="G59" s="1" t="s">
        <v>38</v>
      </c>
      <c r="H59" s="2">
        <v>44713</v>
      </c>
      <c r="I59" s="1" t="s">
        <v>268</v>
      </c>
      <c r="J59" s="1" t="s">
        <v>269</v>
      </c>
      <c r="K59" s="1" t="s">
        <v>270</v>
      </c>
      <c r="L59" s="1">
        <v>2022</v>
      </c>
      <c r="M59" s="1" t="s">
        <v>36</v>
      </c>
      <c r="N59" s="1" t="s">
        <v>43</v>
      </c>
      <c r="O59" s="2">
        <v>44531</v>
      </c>
      <c r="P59">
        <v>2021</v>
      </c>
      <c r="Q59">
        <v>12</v>
      </c>
      <c r="R59" s="1" t="s">
        <v>271</v>
      </c>
      <c r="S59" s="1" t="s">
        <v>43</v>
      </c>
      <c r="T59" s="1" t="s">
        <v>43</v>
      </c>
      <c r="U59" s="1" t="s">
        <v>272</v>
      </c>
      <c r="V59" s="1" t="s">
        <v>273</v>
      </c>
      <c r="W59" s="1" t="s">
        <v>274</v>
      </c>
      <c r="X59" s="1" t="s">
        <v>264</v>
      </c>
      <c r="Y59" s="1"/>
      <c r="Z59" s="1" t="s">
        <v>92</v>
      </c>
      <c r="AA59" t="b">
        <v>0</v>
      </c>
      <c r="AB59" t="b">
        <v>0</v>
      </c>
      <c r="AC59" t="b">
        <v>0</v>
      </c>
      <c r="AD59" t="b">
        <v>0</v>
      </c>
      <c r="AE59" t="b">
        <v>0</v>
      </c>
      <c r="AF59" t="b">
        <v>0</v>
      </c>
      <c r="AG59" t="b">
        <v>1</v>
      </c>
      <c r="AH59" s="1" t="s">
        <v>275</v>
      </c>
    </row>
    <row r="60" spans="1:34" x14ac:dyDescent="0.25">
      <c r="A60" s="1" t="s">
        <v>393</v>
      </c>
      <c r="B60" s="1" t="s">
        <v>394</v>
      </c>
      <c r="C60">
        <v>2</v>
      </c>
      <c r="D60" s="1" t="s">
        <v>35</v>
      </c>
      <c r="E60" s="1" t="s">
        <v>36</v>
      </c>
      <c r="F60" s="1" t="s">
        <v>395</v>
      </c>
      <c r="G60" s="1" t="s">
        <v>38</v>
      </c>
      <c r="H60" s="2">
        <v>45748</v>
      </c>
      <c r="I60" s="1" t="s">
        <v>396</v>
      </c>
      <c r="J60" s="1" t="s">
        <v>397</v>
      </c>
      <c r="K60" s="1" t="s">
        <v>398</v>
      </c>
      <c r="L60" s="1">
        <v>2022</v>
      </c>
      <c r="M60" s="1" t="s">
        <v>36</v>
      </c>
      <c r="N60" s="1" t="s">
        <v>43</v>
      </c>
      <c r="O60" s="2">
        <v>45689</v>
      </c>
      <c r="P60">
        <v>2025</v>
      </c>
      <c r="Q60">
        <v>2</v>
      </c>
      <c r="R60" s="1" t="s">
        <v>399</v>
      </c>
      <c r="S60" s="1" t="s">
        <v>43</v>
      </c>
      <c r="T60" s="1" t="s">
        <v>43</v>
      </c>
      <c r="U60" s="1" t="s">
        <v>400</v>
      </c>
      <c r="V60" s="1" t="s">
        <v>160</v>
      </c>
      <c r="W60" s="1" t="s">
        <v>64</v>
      </c>
      <c r="X60" s="1" t="s">
        <v>48</v>
      </c>
      <c r="Y60" s="1"/>
      <c r="Z60" s="1" t="s">
        <v>92</v>
      </c>
      <c r="AA60" t="b">
        <v>0</v>
      </c>
      <c r="AB60" t="b">
        <v>0</v>
      </c>
      <c r="AC60" t="b">
        <v>0</v>
      </c>
      <c r="AD60" t="b">
        <v>0</v>
      </c>
      <c r="AE60" t="b">
        <v>0</v>
      </c>
      <c r="AF60" t="b">
        <v>0</v>
      </c>
      <c r="AG60" t="b">
        <v>0</v>
      </c>
      <c r="AH60" s="1" t="s">
        <v>401</v>
      </c>
    </row>
    <row r="61" spans="1:34" x14ac:dyDescent="0.25">
      <c r="A61" s="1" t="s">
        <v>436</v>
      </c>
      <c r="B61" s="1" t="s">
        <v>437</v>
      </c>
      <c r="C61">
        <v>2</v>
      </c>
      <c r="D61" s="1" t="s">
        <v>104</v>
      </c>
      <c r="E61" s="1" t="s">
        <v>36</v>
      </c>
      <c r="F61" s="1" t="s">
        <v>395</v>
      </c>
      <c r="G61" s="1" t="s">
        <v>38</v>
      </c>
      <c r="H61" s="2">
        <v>45839</v>
      </c>
      <c r="I61" s="1" t="s">
        <v>438</v>
      </c>
      <c r="J61" s="1" t="s">
        <v>397</v>
      </c>
      <c r="K61" s="1" t="s">
        <v>398</v>
      </c>
      <c r="L61" s="1">
        <v>2022</v>
      </c>
      <c r="M61" s="1" t="s">
        <v>36</v>
      </c>
      <c r="N61" s="1" t="s">
        <v>439</v>
      </c>
      <c r="O61" s="2">
        <v>45778</v>
      </c>
      <c r="P61">
        <v>2025</v>
      </c>
      <c r="Q61">
        <v>5</v>
      </c>
      <c r="R61" s="1" t="s">
        <v>440</v>
      </c>
      <c r="S61" s="1" t="s">
        <v>43</v>
      </c>
      <c r="T61" s="1" t="s">
        <v>43</v>
      </c>
      <c r="U61" s="1" t="s">
        <v>441</v>
      </c>
      <c r="V61" s="1" t="s">
        <v>442</v>
      </c>
      <c r="W61" s="1" t="s">
        <v>64</v>
      </c>
      <c r="X61" s="1" t="s">
        <v>48</v>
      </c>
      <c r="Y61" s="1"/>
      <c r="Z61" s="1" t="s">
        <v>92</v>
      </c>
      <c r="AA61" t="b">
        <v>0</v>
      </c>
      <c r="AB61" t="b">
        <v>1</v>
      </c>
      <c r="AC61" t="b">
        <v>1</v>
      </c>
      <c r="AD61" t="b">
        <v>0</v>
      </c>
      <c r="AE61" t="b">
        <v>1</v>
      </c>
      <c r="AF61" t="b">
        <v>0</v>
      </c>
      <c r="AG61" t="b">
        <v>0</v>
      </c>
      <c r="AH61" s="1" t="s">
        <v>443</v>
      </c>
    </row>
    <row r="62" spans="1:34" x14ac:dyDescent="0.25">
      <c r="A62" s="1" t="s">
        <v>701</v>
      </c>
      <c r="B62" s="1" t="s">
        <v>702</v>
      </c>
      <c r="C62">
        <v>2</v>
      </c>
      <c r="D62" s="1" t="s">
        <v>35</v>
      </c>
      <c r="E62" s="1" t="s">
        <v>36</v>
      </c>
      <c r="F62" s="1" t="s">
        <v>395</v>
      </c>
      <c r="G62" s="1" t="s">
        <v>38</v>
      </c>
      <c r="H62" s="2">
        <v>45536</v>
      </c>
      <c r="I62" s="1" t="s">
        <v>703</v>
      </c>
      <c r="J62" s="1" t="s">
        <v>397</v>
      </c>
      <c r="K62" s="1" t="s">
        <v>398</v>
      </c>
      <c r="L62" s="1">
        <v>2022</v>
      </c>
      <c r="M62" s="1" t="s">
        <v>36</v>
      </c>
      <c r="N62" s="1" t="s">
        <v>43</v>
      </c>
      <c r="O62" s="2">
        <v>45505</v>
      </c>
      <c r="P62">
        <v>2024</v>
      </c>
      <c r="Q62">
        <v>8</v>
      </c>
      <c r="R62" s="1" t="s">
        <v>704</v>
      </c>
      <c r="S62" s="1" t="s">
        <v>43</v>
      </c>
      <c r="T62" s="1" t="s">
        <v>43</v>
      </c>
      <c r="U62" s="1" t="s">
        <v>705</v>
      </c>
      <c r="V62" s="1" t="s">
        <v>227</v>
      </c>
      <c r="W62" s="1" t="s">
        <v>47</v>
      </c>
      <c r="X62" s="1" t="s">
        <v>48</v>
      </c>
      <c r="Y62" s="1"/>
      <c r="Z62" s="1" t="s">
        <v>65</v>
      </c>
      <c r="AA62" t="b">
        <v>0</v>
      </c>
      <c r="AB62" t="b">
        <v>0</v>
      </c>
      <c r="AC62" t="b">
        <v>0</v>
      </c>
      <c r="AD62" t="b">
        <v>0</v>
      </c>
      <c r="AE62" t="b">
        <v>0</v>
      </c>
      <c r="AF62" t="b">
        <v>0</v>
      </c>
      <c r="AG62" t="b">
        <v>0</v>
      </c>
      <c r="AH62" s="1" t="s">
        <v>706</v>
      </c>
    </row>
    <row r="63" spans="1:34" x14ac:dyDescent="0.25">
      <c r="A63" s="1" t="s">
        <v>707</v>
      </c>
      <c r="B63" s="1" t="s">
        <v>708</v>
      </c>
      <c r="C63">
        <v>2</v>
      </c>
      <c r="D63" s="1" t="s">
        <v>35</v>
      </c>
      <c r="E63" s="1" t="s">
        <v>36</v>
      </c>
      <c r="F63" s="1" t="s">
        <v>395</v>
      </c>
      <c r="G63" s="1" t="s">
        <v>38</v>
      </c>
      <c r="H63" s="2">
        <v>45566</v>
      </c>
      <c r="I63" s="1" t="s">
        <v>709</v>
      </c>
      <c r="J63" s="1" t="s">
        <v>397</v>
      </c>
      <c r="K63" s="1" t="s">
        <v>398</v>
      </c>
      <c r="L63" s="1">
        <v>2022</v>
      </c>
      <c r="M63" s="1" t="s">
        <v>36</v>
      </c>
      <c r="N63" s="1" t="s">
        <v>43</v>
      </c>
      <c r="O63" s="2">
        <v>45505</v>
      </c>
      <c r="P63">
        <v>2024</v>
      </c>
      <c r="Q63">
        <v>8</v>
      </c>
      <c r="R63" s="1" t="s">
        <v>710</v>
      </c>
      <c r="S63" s="1" t="s">
        <v>43</v>
      </c>
      <c r="T63" s="1" t="s">
        <v>43</v>
      </c>
      <c r="U63" s="1" t="s">
        <v>711</v>
      </c>
      <c r="V63" s="1" t="s">
        <v>686</v>
      </c>
      <c r="W63" s="1" t="s">
        <v>139</v>
      </c>
      <c r="X63" s="1" t="s">
        <v>48</v>
      </c>
      <c r="Y63" s="1"/>
      <c r="Z63" s="1" t="s">
        <v>92</v>
      </c>
      <c r="AA63" t="b">
        <v>0</v>
      </c>
      <c r="AB63" t="b">
        <v>0</v>
      </c>
      <c r="AC63" t="b">
        <v>0</v>
      </c>
      <c r="AD63" t="b">
        <v>0</v>
      </c>
      <c r="AE63" t="b">
        <v>0</v>
      </c>
      <c r="AF63" t="b">
        <v>0</v>
      </c>
      <c r="AG63" t="b">
        <v>0</v>
      </c>
      <c r="AH63" s="1" t="s">
        <v>712</v>
      </c>
    </row>
    <row r="64" spans="1:34" x14ac:dyDescent="0.25">
      <c r="A64" s="1" t="s">
        <v>644</v>
      </c>
      <c r="B64" s="1" t="s">
        <v>645</v>
      </c>
      <c r="C64">
        <v>2</v>
      </c>
      <c r="D64" s="1" t="s">
        <v>35</v>
      </c>
      <c r="E64" s="1" t="s">
        <v>36</v>
      </c>
      <c r="F64" s="1" t="s">
        <v>395</v>
      </c>
      <c r="G64" s="1" t="s">
        <v>38</v>
      </c>
      <c r="H64" s="2">
        <v>45383</v>
      </c>
      <c r="I64" s="1" t="s">
        <v>646</v>
      </c>
      <c r="J64" s="1" t="s">
        <v>397</v>
      </c>
      <c r="K64" s="1" t="s">
        <v>412</v>
      </c>
      <c r="L64" s="1">
        <v>2022</v>
      </c>
      <c r="M64" s="1" t="s">
        <v>36</v>
      </c>
      <c r="N64" s="1" t="s">
        <v>43</v>
      </c>
      <c r="O64" s="2">
        <v>45323</v>
      </c>
      <c r="P64">
        <v>2024</v>
      </c>
      <c r="Q64">
        <v>2</v>
      </c>
      <c r="R64" s="1" t="s">
        <v>647</v>
      </c>
      <c r="S64" s="1" t="s">
        <v>43</v>
      </c>
      <c r="T64" s="1" t="s">
        <v>43</v>
      </c>
      <c r="U64" s="1" t="s">
        <v>648</v>
      </c>
      <c r="V64" s="1" t="s">
        <v>649</v>
      </c>
      <c r="W64" s="1" t="s">
        <v>139</v>
      </c>
      <c r="X64" s="1" t="s">
        <v>48</v>
      </c>
      <c r="Y64" s="1"/>
      <c r="Z64" s="1" t="s">
        <v>92</v>
      </c>
      <c r="AA64" t="b">
        <v>0</v>
      </c>
      <c r="AB64" t="b">
        <v>0</v>
      </c>
      <c r="AC64" t="b">
        <v>0</v>
      </c>
      <c r="AD64" t="b">
        <v>0</v>
      </c>
      <c r="AE64" t="b">
        <v>0</v>
      </c>
      <c r="AF64" t="b">
        <v>0</v>
      </c>
      <c r="AG64" t="b">
        <v>0</v>
      </c>
      <c r="AH64" s="1" t="s">
        <v>650</v>
      </c>
    </row>
    <row r="65" spans="1:34" x14ac:dyDescent="0.25">
      <c r="A65" s="1" t="s">
        <v>726</v>
      </c>
      <c r="B65" s="1" t="s">
        <v>727</v>
      </c>
      <c r="C65">
        <v>2</v>
      </c>
      <c r="D65" s="1" t="s">
        <v>35</v>
      </c>
      <c r="E65" s="1" t="s">
        <v>36</v>
      </c>
      <c r="F65" s="1" t="s">
        <v>395</v>
      </c>
      <c r="G65" s="1" t="s">
        <v>38</v>
      </c>
      <c r="H65" s="2">
        <v>45566</v>
      </c>
      <c r="I65" s="1" t="s">
        <v>728</v>
      </c>
      <c r="J65" s="1" t="s">
        <v>397</v>
      </c>
      <c r="K65" s="1" t="s">
        <v>412</v>
      </c>
      <c r="L65" s="1">
        <v>2022</v>
      </c>
      <c r="M65" s="1" t="s">
        <v>36</v>
      </c>
      <c r="N65" s="1" t="s">
        <v>43</v>
      </c>
      <c r="O65" s="2">
        <v>45536</v>
      </c>
      <c r="P65">
        <v>2024</v>
      </c>
      <c r="Q65">
        <v>9</v>
      </c>
      <c r="R65" s="1" t="s">
        <v>729</v>
      </c>
      <c r="S65" s="1" t="s">
        <v>43</v>
      </c>
      <c r="T65" s="1" t="s">
        <v>43</v>
      </c>
      <c r="U65" s="1" t="s">
        <v>43</v>
      </c>
      <c r="V65" s="1" t="s">
        <v>442</v>
      </c>
      <c r="W65" s="1" t="s">
        <v>64</v>
      </c>
      <c r="X65" s="1" t="s">
        <v>795</v>
      </c>
      <c r="Y65" s="1"/>
      <c r="Z65" s="1" t="s">
        <v>92</v>
      </c>
      <c r="AA65" t="b">
        <v>0</v>
      </c>
      <c r="AB65" t="b">
        <v>0</v>
      </c>
      <c r="AC65" t="b">
        <v>0</v>
      </c>
      <c r="AD65" t="b">
        <v>0</v>
      </c>
      <c r="AE65" t="b">
        <v>0</v>
      </c>
      <c r="AF65" t="b">
        <v>0</v>
      </c>
      <c r="AG65" t="b">
        <v>0</v>
      </c>
      <c r="AH65" s="1" t="s">
        <v>730</v>
      </c>
    </row>
    <row r="66" spans="1:34" x14ac:dyDescent="0.25">
      <c r="A66" s="1" t="s">
        <v>140</v>
      </c>
      <c r="B66" s="1" t="s">
        <v>141</v>
      </c>
      <c r="C66">
        <v>1</v>
      </c>
      <c r="D66" s="1" t="s">
        <v>104</v>
      </c>
      <c r="E66" s="1" t="s">
        <v>36</v>
      </c>
      <c r="F66" s="1" t="s">
        <v>85</v>
      </c>
      <c r="G66" s="1" t="s">
        <v>120</v>
      </c>
      <c r="H66" s="2">
        <v>46143</v>
      </c>
      <c r="I66" s="1" t="s">
        <v>142</v>
      </c>
      <c r="J66" s="1" t="s">
        <v>87</v>
      </c>
      <c r="K66" s="1" t="s">
        <v>143</v>
      </c>
      <c r="L66" s="1">
        <v>2023</v>
      </c>
      <c r="M66" s="1" t="s">
        <v>36</v>
      </c>
      <c r="N66" s="1" t="s">
        <v>107</v>
      </c>
      <c r="O66" s="2">
        <v>46054</v>
      </c>
      <c r="P66">
        <v>2026</v>
      </c>
      <c r="Q66">
        <v>2</v>
      </c>
      <c r="R66" s="1" t="s">
        <v>144</v>
      </c>
      <c r="S66" s="1" t="s">
        <v>43</v>
      </c>
      <c r="T66" s="1" t="s">
        <v>43</v>
      </c>
      <c r="U66" s="1" t="s">
        <v>145</v>
      </c>
      <c r="V66" s="1" t="s">
        <v>146</v>
      </c>
      <c r="W66" s="1" t="s">
        <v>64</v>
      </c>
      <c r="X66" s="1" t="s">
        <v>147</v>
      </c>
      <c r="Y66" s="1"/>
      <c r="Z66" s="1" t="s">
        <v>204</v>
      </c>
      <c r="AA66" t="b">
        <v>0</v>
      </c>
      <c r="AB66" t="b">
        <v>1</v>
      </c>
      <c r="AC66" t="b">
        <v>1</v>
      </c>
      <c r="AD66" t="b">
        <v>0</v>
      </c>
      <c r="AE66" t="b">
        <v>1</v>
      </c>
      <c r="AF66" t="b">
        <v>0</v>
      </c>
      <c r="AG66" t="b">
        <v>0</v>
      </c>
      <c r="AH66" s="1" t="s">
        <v>93</v>
      </c>
    </row>
    <row r="67" spans="1:34" x14ac:dyDescent="0.25">
      <c r="A67" s="1" t="s">
        <v>233</v>
      </c>
      <c r="B67" s="1" t="s">
        <v>234</v>
      </c>
      <c r="C67">
        <v>2</v>
      </c>
      <c r="D67" s="1" t="s">
        <v>35</v>
      </c>
      <c r="E67" s="1" t="s">
        <v>36</v>
      </c>
      <c r="F67" s="1" t="s">
        <v>85</v>
      </c>
      <c r="G67" s="1" t="s">
        <v>177</v>
      </c>
      <c r="H67" s="2">
        <v>45597</v>
      </c>
      <c r="I67" s="1" t="s">
        <v>235</v>
      </c>
      <c r="J67" s="1" t="s">
        <v>87</v>
      </c>
      <c r="K67" s="1" t="s">
        <v>236</v>
      </c>
      <c r="L67" s="1">
        <v>2023</v>
      </c>
      <c r="M67" s="1" t="s">
        <v>42</v>
      </c>
      <c r="N67" s="1" t="s">
        <v>43</v>
      </c>
      <c r="O67" s="2">
        <v>45566</v>
      </c>
      <c r="P67">
        <v>2024</v>
      </c>
      <c r="Q67">
        <v>10</v>
      </c>
      <c r="R67" s="1" t="s">
        <v>237</v>
      </c>
      <c r="S67" s="1" t="s">
        <v>43</v>
      </c>
      <c r="T67" s="1" t="s">
        <v>43</v>
      </c>
      <c r="U67" s="1" t="s">
        <v>43</v>
      </c>
      <c r="V67" s="1" t="s">
        <v>160</v>
      </c>
      <c r="W67" s="1" t="s">
        <v>64</v>
      </c>
      <c r="X67" s="1" t="s">
        <v>48</v>
      </c>
      <c r="Y67" s="1"/>
      <c r="Z67" s="1" t="s">
        <v>65</v>
      </c>
      <c r="AA67" t="b">
        <v>0</v>
      </c>
      <c r="AB67" t="b">
        <v>0</v>
      </c>
      <c r="AC67" t="b">
        <v>0</v>
      </c>
      <c r="AD67" t="b">
        <v>0</v>
      </c>
      <c r="AE67" t="b">
        <v>0</v>
      </c>
      <c r="AF67" t="b">
        <v>0</v>
      </c>
      <c r="AG67" t="b">
        <v>0</v>
      </c>
      <c r="AH67" s="1" t="s">
        <v>93</v>
      </c>
    </row>
    <row r="68" spans="1:34" x14ac:dyDescent="0.25">
      <c r="A68" s="1" t="s">
        <v>205</v>
      </c>
      <c r="B68" s="1" t="s">
        <v>206</v>
      </c>
      <c r="C68">
        <v>5</v>
      </c>
      <c r="D68" s="1" t="s">
        <v>35</v>
      </c>
      <c r="E68" s="1" t="s">
        <v>36</v>
      </c>
      <c r="F68" s="1" t="s">
        <v>85</v>
      </c>
      <c r="G68" s="1" t="s">
        <v>38</v>
      </c>
      <c r="H68" s="2">
        <v>45200</v>
      </c>
      <c r="I68" s="1" t="s">
        <v>207</v>
      </c>
      <c r="J68" s="1" t="s">
        <v>87</v>
      </c>
      <c r="K68" s="1" t="s">
        <v>208</v>
      </c>
      <c r="L68" s="1">
        <v>2023</v>
      </c>
      <c r="M68" s="1" t="s">
        <v>36</v>
      </c>
      <c r="N68" s="1" t="s">
        <v>43</v>
      </c>
      <c r="O68" s="2">
        <v>45047</v>
      </c>
      <c r="P68">
        <v>2023</v>
      </c>
      <c r="Q68">
        <v>5</v>
      </c>
      <c r="R68" s="1" t="s">
        <v>209</v>
      </c>
      <c r="S68" s="1" t="s">
        <v>43</v>
      </c>
      <c r="T68" s="1" t="s">
        <v>43</v>
      </c>
      <c r="U68" s="1" t="s">
        <v>43</v>
      </c>
      <c r="V68" s="1" t="s">
        <v>91</v>
      </c>
      <c r="W68" s="1" t="s">
        <v>64</v>
      </c>
      <c r="X68" s="1" t="s">
        <v>48</v>
      </c>
      <c r="Y68" s="1"/>
      <c r="Z68" s="1" t="s">
        <v>65</v>
      </c>
      <c r="AA68" t="b">
        <v>0</v>
      </c>
      <c r="AB68" t="b">
        <v>0</v>
      </c>
      <c r="AC68" t="b">
        <v>0</v>
      </c>
      <c r="AD68" t="b">
        <v>0</v>
      </c>
      <c r="AE68" t="b">
        <v>0</v>
      </c>
      <c r="AF68" t="b">
        <v>0</v>
      </c>
      <c r="AG68" t="b">
        <v>0</v>
      </c>
      <c r="AH68" s="1" t="s">
        <v>93</v>
      </c>
    </row>
    <row r="69" spans="1:34" x14ac:dyDescent="0.25">
      <c r="A69" s="1" t="s">
        <v>216</v>
      </c>
      <c r="B69" s="1" t="s">
        <v>217</v>
      </c>
      <c r="C69">
        <v>4</v>
      </c>
      <c r="D69" s="1" t="s">
        <v>35</v>
      </c>
      <c r="E69" s="1" t="s">
        <v>36</v>
      </c>
      <c r="F69" s="1" t="s">
        <v>85</v>
      </c>
      <c r="G69" s="1" t="s">
        <v>38</v>
      </c>
      <c r="H69" s="2">
        <v>45323</v>
      </c>
      <c r="I69" s="1" t="s">
        <v>218</v>
      </c>
      <c r="J69" s="1" t="s">
        <v>87</v>
      </c>
      <c r="K69" s="1" t="s">
        <v>208</v>
      </c>
      <c r="L69" s="1">
        <v>2023</v>
      </c>
      <c r="M69" s="1" t="s">
        <v>36</v>
      </c>
      <c r="N69" s="1" t="s">
        <v>43</v>
      </c>
      <c r="O69" s="2">
        <v>45261</v>
      </c>
      <c r="P69">
        <v>2023</v>
      </c>
      <c r="Q69">
        <v>12</v>
      </c>
      <c r="R69" s="1" t="s">
        <v>219</v>
      </c>
      <c r="S69" s="1" t="s">
        <v>43</v>
      </c>
      <c r="T69" s="1" t="s">
        <v>43</v>
      </c>
      <c r="U69" s="1" t="s">
        <v>220</v>
      </c>
      <c r="V69" s="1" t="s">
        <v>73</v>
      </c>
      <c r="W69" s="1" t="s">
        <v>64</v>
      </c>
      <c r="X69" s="1" t="s">
        <v>48</v>
      </c>
      <c r="Y69" s="1"/>
      <c r="Z69" s="1" t="s">
        <v>65</v>
      </c>
      <c r="AA69" t="b">
        <v>0</v>
      </c>
      <c r="AB69" t="b">
        <v>0</v>
      </c>
      <c r="AC69" t="b">
        <v>0</v>
      </c>
      <c r="AD69" t="b">
        <v>0</v>
      </c>
      <c r="AE69" t="b">
        <v>0</v>
      </c>
      <c r="AF69" t="b">
        <v>0</v>
      </c>
      <c r="AG69" t="b">
        <v>0</v>
      </c>
      <c r="AH69" s="1" t="s">
        <v>93</v>
      </c>
    </row>
    <row r="70" spans="1:34" x14ac:dyDescent="0.25">
      <c r="A70" s="1" t="s">
        <v>94</v>
      </c>
      <c r="B70" s="1" t="s">
        <v>95</v>
      </c>
      <c r="C70">
        <v>4</v>
      </c>
      <c r="D70" s="1" t="s">
        <v>35</v>
      </c>
      <c r="E70" s="1" t="s">
        <v>36</v>
      </c>
      <c r="F70" s="1" t="s">
        <v>85</v>
      </c>
      <c r="G70" s="1" t="s">
        <v>38</v>
      </c>
      <c r="H70" s="2">
        <v>45778</v>
      </c>
      <c r="I70" s="1" t="s">
        <v>96</v>
      </c>
      <c r="J70" s="1" t="s">
        <v>87</v>
      </c>
      <c r="K70" s="1" t="s">
        <v>97</v>
      </c>
      <c r="L70" s="1">
        <v>2023</v>
      </c>
      <c r="M70" s="1" t="s">
        <v>36</v>
      </c>
      <c r="N70" s="1" t="s">
        <v>43</v>
      </c>
      <c r="O70" s="2">
        <v>45717</v>
      </c>
      <c r="P70">
        <v>2025</v>
      </c>
      <c r="Q70">
        <v>3</v>
      </c>
      <c r="R70" s="1" t="s">
        <v>98</v>
      </c>
      <c r="S70" s="1" t="s">
        <v>43</v>
      </c>
      <c r="T70" s="1" t="s">
        <v>43</v>
      </c>
      <c r="U70" s="1" t="s">
        <v>99</v>
      </c>
      <c r="V70" s="1" t="s">
        <v>100</v>
      </c>
      <c r="W70" s="1" t="s">
        <v>64</v>
      </c>
      <c r="X70" s="1" t="s">
        <v>101</v>
      </c>
      <c r="Y70" s="1"/>
      <c r="Z70" s="1" t="s">
        <v>92</v>
      </c>
      <c r="AA70" t="b">
        <v>0</v>
      </c>
      <c r="AB70" t="b">
        <v>0</v>
      </c>
      <c r="AC70" t="b">
        <v>0</v>
      </c>
      <c r="AD70" t="b">
        <v>0</v>
      </c>
      <c r="AE70" t="b">
        <v>0</v>
      </c>
      <c r="AF70" t="b">
        <v>0</v>
      </c>
      <c r="AG70" t="b">
        <v>0</v>
      </c>
      <c r="AH70" s="1" t="s">
        <v>93</v>
      </c>
    </row>
    <row r="71" spans="1:34" x14ac:dyDescent="0.25">
      <c r="A71" s="1" t="s">
        <v>291</v>
      </c>
      <c r="B71" s="1" t="s">
        <v>292</v>
      </c>
      <c r="C71">
        <v>2</v>
      </c>
      <c r="D71" s="1" t="s">
        <v>35</v>
      </c>
      <c r="E71" s="1" t="s">
        <v>293</v>
      </c>
      <c r="F71" s="1" t="s">
        <v>284</v>
      </c>
      <c r="G71" s="1" t="s">
        <v>177</v>
      </c>
      <c r="H71" s="2">
        <v>45292</v>
      </c>
      <c r="I71" s="1" t="s">
        <v>294</v>
      </c>
      <c r="J71" s="1" t="s">
        <v>295</v>
      </c>
      <c r="K71" s="1" t="s">
        <v>296</v>
      </c>
      <c r="L71" s="1">
        <v>2023</v>
      </c>
      <c r="M71" s="1" t="s">
        <v>36</v>
      </c>
      <c r="N71" s="1" t="s">
        <v>43</v>
      </c>
      <c r="O71" s="2">
        <v>45292</v>
      </c>
      <c r="P71">
        <v>2024</v>
      </c>
      <c r="Q71">
        <v>1</v>
      </c>
      <c r="R71" s="1" t="s">
        <v>297</v>
      </c>
      <c r="S71" s="1" t="s">
        <v>43</v>
      </c>
      <c r="T71" s="1" t="s">
        <v>43</v>
      </c>
      <c r="U71" s="1" t="s">
        <v>298</v>
      </c>
      <c r="V71" s="1" t="s">
        <v>299</v>
      </c>
      <c r="W71" s="1" t="s">
        <v>274</v>
      </c>
      <c r="X71" s="1" t="s">
        <v>795</v>
      </c>
      <c r="Y71" s="1"/>
      <c r="Z71" s="1" t="s">
        <v>65</v>
      </c>
      <c r="AA71" t="b">
        <v>0</v>
      </c>
      <c r="AB71" t="b">
        <v>0</v>
      </c>
      <c r="AC71" t="b">
        <v>0</v>
      </c>
      <c r="AD71" t="b">
        <v>0</v>
      </c>
      <c r="AE71" t="b">
        <v>0</v>
      </c>
      <c r="AF71" t="b">
        <v>0</v>
      </c>
      <c r="AG71" t="b">
        <v>1</v>
      </c>
      <c r="AH71" s="1" t="s">
        <v>300</v>
      </c>
    </row>
    <row r="72" spans="1:34" x14ac:dyDescent="0.25">
      <c r="A72" s="1" t="s">
        <v>379</v>
      </c>
      <c r="B72" s="1" t="s">
        <v>380</v>
      </c>
      <c r="C72">
        <v>1</v>
      </c>
      <c r="D72" s="1" t="s">
        <v>35</v>
      </c>
      <c r="E72" s="1" t="s">
        <v>53</v>
      </c>
      <c r="F72" s="1" t="s">
        <v>316</v>
      </c>
      <c r="G72" s="1" t="s">
        <v>54</v>
      </c>
      <c r="H72" s="2">
        <v>45292</v>
      </c>
      <c r="I72" s="1" t="s">
        <v>381</v>
      </c>
      <c r="J72" s="1" t="s">
        <v>355</v>
      </c>
      <c r="K72" s="1" t="s">
        <v>326</v>
      </c>
      <c r="L72" s="1">
        <v>2023</v>
      </c>
      <c r="M72" s="1" t="s">
        <v>53</v>
      </c>
      <c r="N72" s="1" t="s">
        <v>43</v>
      </c>
      <c r="O72" s="2">
        <v>45261</v>
      </c>
      <c r="P72">
        <v>2023</v>
      </c>
      <c r="Q72">
        <v>12</v>
      </c>
      <c r="R72" s="1" t="s">
        <v>382</v>
      </c>
      <c r="S72" s="1" t="s">
        <v>43</v>
      </c>
      <c r="T72" s="1" t="s">
        <v>43</v>
      </c>
      <c r="U72" s="1" t="s">
        <v>383</v>
      </c>
      <c r="V72" s="1" t="s">
        <v>138</v>
      </c>
      <c r="W72" s="1" t="s">
        <v>64</v>
      </c>
      <c r="X72" s="1" t="s">
        <v>384</v>
      </c>
      <c r="Y72" s="1"/>
      <c r="Z72" s="1" t="s">
        <v>65</v>
      </c>
      <c r="AA72" t="b">
        <v>0</v>
      </c>
      <c r="AB72" t="b">
        <v>0</v>
      </c>
      <c r="AC72" t="b">
        <v>0</v>
      </c>
      <c r="AD72" t="b">
        <v>0</v>
      </c>
      <c r="AE72" t="b">
        <v>0</v>
      </c>
      <c r="AF72" t="b">
        <v>0</v>
      </c>
      <c r="AG72" t="b">
        <v>0</v>
      </c>
      <c r="AH72" s="1" t="s">
        <v>385</v>
      </c>
    </row>
    <row r="73" spans="1:34" x14ac:dyDescent="0.25">
      <c r="A73" s="1" t="s">
        <v>386</v>
      </c>
      <c r="B73" s="1" t="s">
        <v>387</v>
      </c>
      <c r="C73">
        <v>2</v>
      </c>
      <c r="D73" s="1" t="s">
        <v>35</v>
      </c>
      <c r="E73" s="1" t="s">
        <v>36</v>
      </c>
      <c r="F73" s="1" t="s">
        <v>316</v>
      </c>
      <c r="G73" s="1" t="s">
        <v>177</v>
      </c>
      <c r="H73" s="2">
        <v>45536</v>
      </c>
      <c r="I73" s="1" t="s">
        <v>388</v>
      </c>
      <c r="J73" s="1" t="s">
        <v>355</v>
      </c>
      <c r="K73" s="1" t="s">
        <v>326</v>
      </c>
      <c r="L73" s="1">
        <v>2023</v>
      </c>
      <c r="M73" s="1" t="s">
        <v>36</v>
      </c>
      <c r="N73" s="1" t="s">
        <v>43</v>
      </c>
      <c r="O73" s="2">
        <v>45170</v>
      </c>
      <c r="P73">
        <v>2023</v>
      </c>
      <c r="Q73">
        <v>9</v>
      </c>
      <c r="R73" s="1" t="s">
        <v>389</v>
      </c>
      <c r="S73" s="1" t="s">
        <v>43</v>
      </c>
      <c r="T73" s="1" t="s">
        <v>43</v>
      </c>
      <c r="U73" s="1" t="s">
        <v>390</v>
      </c>
      <c r="V73" s="1" t="s">
        <v>391</v>
      </c>
      <c r="W73" s="1" t="s">
        <v>64</v>
      </c>
      <c r="X73" s="1" t="s">
        <v>147</v>
      </c>
      <c r="Y73" s="1"/>
      <c r="Z73" s="1" t="s">
        <v>182</v>
      </c>
      <c r="AA73" t="b">
        <v>0</v>
      </c>
      <c r="AB73" t="b">
        <v>0</v>
      </c>
      <c r="AC73" t="b">
        <v>0</v>
      </c>
      <c r="AD73" t="b">
        <v>0</v>
      </c>
      <c r="AE73" t="b">
        <v>0</v>
      </c>
      <c r="AF73" t="b">
        <v>0</v>
      </c>
      <c r="AG73" t="b">
        <v>0</v>
      </c>
      <c r="AH73" s="1" t="s">
        <v>392</v>
      </c>
    </row>
    <row r="74" spans="1:34" x14ac:dyDescent="0.25">
      <c r="A74" s="1" t="s">
        <v>444</v>
      </c>
      <c r="B74" s="1" t="s">
        <v>445</v>
      </c>
      <c r="C74">
        <v>2</v>
      </c>
      <c r="D74" s="1" t="s">
        <v>104</v>
      </c>
      <c r="E74" s="1" t="s">
        <v>36</v>
      </c>
      <c r="F74" s="1" t="s">
        <v>395</v>
      </c>
      <c r="G74" s="1" t="s">
        <v>38</v>
      </c>
      <c r="H74" s="2">
        <v>45870</v>
      </c>
      <c r="I74" s="1" t="s">
        <v>446</v>
      </c>
      <c r="J74" s="1" t="s">
        <v>397</v>
      </c>
      <c r="K74" s="1" t="s">
        <v>405</v>
      </c>
      <c r="L74" s="1">
        <v>2023</v>
      </c>
      <c r="M74" s="1" t="s">
        <v>36</v>
      </c>
      <c r="N74" s="1" t="s">
        <v>107</v>
      </c>
      <c r="O74" s="2">
        <v>45809</v>
      </c>
      <c r="P74">
        <v>2025</v>
      </c>
      <c r="Q74">
        <v>6</v>
      </c>
      <c r="R74" s="1" t="s">
        <v>447</v>
      </c>
      <c r="S74" s="1" t="s">
        <v>43</v>
      </c>
      <c r="T74" s="1" t="s">
        <v>43</v>
      </c>
      <c r="U74" s="1" t="s">
        <v>448</v>
      </c>
      <c r="V74" s="1" t="s">
        <v>370</v>
      </c>
      <c r="W74" s="1" t="s">
        <v>64</v>
      </c>
      <c r="X74" s="1" t="s">
        <v>74</v>
      </c>
      <c r="Y74" s="1"/>
      <c r="Z74" s="1" t="s">
        <v>65</v>
      </c>
      <c r="AA74" t="b">
        <v>0</v>
      </c>
      <c r="AB74" t="b">
        <v>0</v>
      </c>
      <c r="AC74" t="b">
        <v>0</v>
      </c>
      <c r="AD74" t="b">
        <v>0</v>
      </c>
      <c r="AE74" t="b">
        <v>1</v>
      </c>
      <c r="AF74" t="b">
        <v>0</v>
      </c>
      <c r="AG74" t="b">
        <v>0</v>
      </c>
      <c r="AH74" s="1" t="s">
        <v>449</v>
      </c>
    </row>
    <row r="75" spans="1:34" x14ac:dyDescent="0.25">
      <c r="A75" s="1" t="s">
        <v>638</v>
      </c>
      <c r="B75" s="1" t="s">
        <v>639</v>
      </c>
      <c r="C75">
        <v>2</v>
      </c>
      <c r="D75" s="1" t="s">
        <v>35</v>
      </c>
      <c r="E75" s="1" t="s">
        <v>36</v>
      </c>
      <c r="F75" s="1" t="s">
        <v>395</v>
      </c>
      <c r="G75" s="1" t="s">
        <v>38</v>
      </c>
      <c r="H75" s="2">
        <v>45323</v>
      </c>
      <c r="I75" s="1" t="s">
        <v>640</v>
      </c>
      <c r="J75" s="1" t="s">
        <v>397</v>
      </c>
      <c r="K75" s="1" t="s">
        <v>405</v>
      </c>
      <c r="L75" s="1">
        <v>2023</v>
      </c>
      <c r="M75" s="1" t="s">
        <v>36</v>
      </c>
      <c r="N75" s="1" t="s">
        <v>43</v>
      </c>
      <c r="O75" s="2">
        <v>45261</v>
      </c>
      <c r="P75">
        <v>2023</v>
      </c>
      <c r="Q75">
        <v>12</v>
      </c>
      <c r="R75" s="1" t="s">
        <v>641</v>
      </c>
      <c r="S75" s="1" t="s">
        <v>43</v>
      </c>
      <c r="T75" s="1" t="s">
        <v>43</v>
      </c>
      <c r="U75" s="1" t="s">
        <v>642</v>
      </c>
      <c r="V75" s="1" t="s">
        <v>91</v>
      </c>
      <c r="W75" s="1" t="s">
        <v>47</v>
      </c>
      <c r="X75" s="1" t="s">
        <v>48</v>
      </c>
      <c r="Y75" s="1"/>
      <c r="Z75" s="1" t="s">
        <v>92</v>
      </c>
      <c r="AA75" t="b">
        <v>0</v>
      </c>
      <c r="AB75" t="b">
        <v>0</v>
      </c>
      <c r="AC75" t="b">
        <v>0</v>
      </c>
      <c r="AD75" t="b">
        <v>0</v>
      </c>
      <c r="AE75" t="b">
        <v>0</v>
      </c>
      <c r="AF75" t="b">
        <v>0</v>
      </c>
      <c r="AG75" t="b">
        <v>0</v>
      </c>
      <c r="AH75" s="1" t="s">
        <v>643</v>
      </c>
    </row>
    <row r="76" spans="1:34" x14ac:dyDescent="0.25">
      <c r="A76" s="1" t="s">
        <v>713</v>
      </c>
      <c r="B76" s="1" t="s">
        <v>714</v>
      </c>
      <c r="C76">
        <v>1</v>
      </c>
      <c r="D76" s="1" t="s">
        <v>35</v>
      </c>
      <c r="E76" s="1" t="s">
        <v>36</v>
      </c>
      <c r="F76" s="1" t="s">
        <v>395</v>
      </c>
      <c r="G76" s="1" t="s">
        <v>120</v>
      </c>
      <c r="H76" s="2">
        <v>45536</v>
      </c>
      <c r="I76" s="1" t="s">
        <v>715</v>
      </c>
      <c r="J76" s="1" t="s">
        <v>397</v>
      </c>
      <c r="K76" s="1" t="s">
        <v>398</v>
      </c>
      <c r="L76" s="1">
        <v>2023</v>
      </c>
      <c r="M76" s="1" t="s">
        <v>36</v>
      </c>
      <c r="N76" s="1" t="s">
        <v>43</v>
      </c>
      <c r="O76" s="2">
        <v>45536</v>
      </c>
      <c r="P76">
        <v>2024</v>
      </c>
      <c r="Q76">
        <v>9</v>
      </c>
      <c r="R76" s="1" t="s">
        <v>716</v>
      </c>
      <c r="S76" s="1" t="s">
        <v>43</v>
      </c>
      <c r="T76" s="1" t="s">
        <v>43</v>
      </c>
      <c r="U76" s="1" t="s">
        <v>717</v>
      </c>
      <c r="V76" s="1" t="s">
        <v>160</v>
      </c>
      <c r="W76" s="1" t="s">
        <v>64</v>
      </c>
      <c r="X76" s="1" t="s">
        <v>74</v>
      </c>
      <c r="Y76" s="1"/>
      <c r="Z76" s="1" t="s">
        <v>65</v>
      </c>
      <c r="AA76" t="b">
        <v>0</v>
      </c>
      <c r="AB76" t="b">
        <v>0</v>
      </c>
      <c r="AC76" t="b">
        <v>0</v>
      </c>
      <c r="AD76" t="b">
        <v>0</v>
      </c>
      <c r="AE76" t="b">
        <v>0</v>
      </c>
      <c r="AF76" t="b">
        <v>0</v>
      </c>
      <c r="AG76" t="b">
        <v>0</v>
      </c>
      <c r="AH76" s="1" t="s">
        <v>718</v>
      </c>
    </row>
    <row r="77" spans="1:34" x14ac:dyDescent="0.25">
      <c r="A77" s="1" t="s">
        <v>422</v>
      </c>
      <c r="B77" s="1" t="s">
        <v>423</v>
      </c>
      <c r="C77">
        <v>2</v>
      </c>
      <c r="D77" s="1" t="s">
        <v>35</v>
      </c>
      <c r="E77" s="1" t="s">
        <v>36</v>
      </c>
      <c r="F77" s="1" t="s">
        <v>395</v>
      </c>
      <c r="G77" s="1" t="s">
        <v>177</v>
      </c>
      <c r="H77" s="2">
        <v>45778</v>
      </c>
      <c r="I77" s="1" t="s">
        <v>424</v>
      </c>
      <c r="J77" s="1" t="s">
        <v>397</v>
      </c>
      <c r="K77" s="1" t="s">
        <v>412</v>
      </c>
      <c r="L77" s="1">
        <v>2023</v>
      </c>
      <c r="M77" s="1" t="s">
        <v>36</v>
      </c>
      <c r="N77" s="1" t="s">
        <v>43</v>
      </c>
      <c r="O77" s="2">
        <v>45748</v>
      </c>
      <c r="P77">
        <v>2025</v>
      </c>
      <c r="Q77">
        <v>4</v>
      </c>
      <c r="R77" s="1" t="s">
        <v>425</v>
      </c>
      <c r="S77" s="1" t="s">
        <v>43</v>
      </c>
      <c r="T77" s="1" t="s">
        <v>43</v>
      </c>
      <c r="U77" s="1" t="s">
        <v>426</v>
      </c>
      <c r="V77" s="1" t="s">
        <v>427</v>
      </c>
      <c r="W77" s="1" t="s">
        <v>64</v>
      </c>
      <c r="X77" s="1" t="s">
        <v>795</v>
      </c>
      <c r="Y77" s="1"/>
      <c r="Z77" s="1" t="s">
        <v>204</v>
      </c>
      <c r="AA77" t="b">
        <v>0</v>
      </c>
      <c r="AB77" t="b">
        <v>0</v>
      </c>
      <c r="AC77" t="b">
        <v>0</v>
      </c>
      <c r="AD77" t="b">
        <v>0</v>
      </c>
      <c r="AE77" t="b">
        <v>0</v>
      </c>
      <c r="AF77" t="b">
        <v>0</v>
      </c>
      <c r="AG77" t="b">
        <v>0</v>
      </c>
      <c r="AH77" s="1" t="s">
        <v>93</v>
      </c>
    </row>
    <row r="78" spans="1:34" x14ac:dyDescent="0.25">
      <c r="A78" s="1" t="s">
        <v>457</v>
      </c>
      <c r="B78" s="1" t="s">
        <v>458</v>
      </c>
      <c r="C78">
        <v>2</v>
      </c>
      <c r="D78" s="1" t="s">
        <v>104</v>
      </c>
      <c r="E78" s="1" t="s">
        <v>36</v>
      </c>
      <c r="F78" s="1" t="s">
        <v>395</v>
      </c>
      <c r="G78" s="1" t="s">
        <v>38</v>
      </c>
      <c r="H78" s="2">
        <v>45931</v>
      </c>
      <c r="I78" s="1" t="s">
        <v>459</v>
      </c>
      <c r="J78" s="1" t="s">
        <v>397</v>
      </c>
      <c r="K78" s="1" t="s">
        <v>412</v>
      </c>
      <c r="L78" s="1">
        <v>2023</v>
      </c>
      <c r="M78" s="1" t="s">
        <v>36</v>
      </c>
      <c r="N78" s="1" t="s">
        <v>460</v>
      </c>
      <c r="O78" s="2">
        <v>45839</v>
      </c>
      <c r="P78">
        <v>2025</v>
      </c>
      <c r="Q78">
        <v>7</v>
      </c>
      <c r="R78" s="1" t="s">
        <v>461</v>
      </c>
      <c r="S78" s="1" t="s">
        <v>43</v>
      </c>
      <c r="T78" s="1" t="s">
        <v>43</v>
      </c>
      <c r="U78" s="1" t="s">
        <v>462</v>
      </c>
      <c r="V78" s="1" t="s">
        <v>463</v>
      </c>
      <c r="W78" s="1" t="s">
        <v>64</v>
      </c>
      <c r="X78" s="1" t="s">
        <v>795</v>
      </c>
      <c r="Y78" s="1"/>
      <c r="Z78" s="1" t="s">
        <v>92</v>
      </c>
      <c r="AA78" t="b">
        <v>0</v>
      </c>
      <c r="AB78" t="b">
        <v>1</v>
      </c>
      <c r="AC78" t="b">
        <v>1</v>
      </c>
      <c r="AD78" t="b">
        <v>0</v>
      </c>
      <c r="AE78" t="b">
        <v>1</v>
      </c>
      <c r="AF78" t="b">
        <v>0</v>
      </c>
      <c r="AG78" t="b">
        <v>0</v>
      </c>
      <c r="AH78" s="1" t="s">
        <v>464</v>
      </c>
    </row>
    <row r="79" spans="1:34" x14ac:dyDescent="0.25">
      <c r="A79" s="1" t="s">
        <v>695</v>
      </c>
      <c r="B79" s="1" t="s">
        <v>696</v>
      </c>
      <c r="C79">
        <v>2</v>
      </c>
      <c r="D79" s="1" t="s">
        <v>35</v>
      </c>
      <c r="E79" s="1" t="s">
        <v>36</v>
      </c>
      <c r="F79" s="1" t="s">
        <v>395</v>
      </c>
      <c r="G79" s="1" t="s">
        <v>38</v>
      </c>
      <c r="H79" s="2">
        <v>45536</v>
      </c>
      <c r="I79" s="1" t="s">
        <v>697</v>
      </c>
      <c r="J79" s="1" t="s">
        <v>397</v>
      </c>
      <c r="K79" s="1" t="s">
        <v>412</v>
      </c>
      <c r="L79" s="1">
        <v>2023</v>
      </c>
      <c r="M79" s="1" t="s">
        <v>36</v>
      </c>
      <c r="N79" s="1" t="s">
        <v>43</v>
      </c>
      <c r="O79" s="2">
        <v>45505</v>
      </c>
      <c r="P79">
        <v>2024</v>
      </c>
      <c r="Q79">
        <v>8</v>
      </c>
      <c r="R79" s="1" t="s">
        <v>698</v>
      </c>
      <c r="S79" s="1" t="s">
        <v>43</v>
      </c>
      <c r="T79" s="1" t="s">
        <v>43</v>
      </c>
      <c r="U79" s="1" t="s">
        <v>699</v>
      </c>
      <c r="V79" s="1" t="s">
        <v>350</v>
      </c>
      <c r="W79" s="1" t="s">
        <v>64</v>
      </c>
      <c r="X79" s="1" t="s">
        <v>48</v>
      </c>
      <c r="Y79" s="1"/>
      <c r="Z79" s="1" t="s">
        <v>65</v>
      </c>
      <c r="AA79" t="b">
        <v>0</v>
      </c>
      <c r="AB79" t="b">
        <v>0</v>
      </c>
      <c r="AC79" t="b">
        <v>0</v>
      </c>
      <c r="AD79" t="b">
        <v>0</v>
      </c>
      <c r="AE79" t="b">
        <v>0</v>
      </c>
      <c r="AF79" t="b">
        <v>0</v>
      </c>
      <c r="AG79" t="b">
        <v>0</v>
      </c>
      <c r="AH79" s="1" t="s">
        <v>700</v>
      </c>
    </row>
    <row r="80" spans="1:34" x14ac:dyDescent="0.25">
      <c r="A80" s="1" t="s">
        <v>780</v>
      </c>
      <c r="B80" s="1" t="s">
        <v>781</v>
      </c>
      <c r="C80">
        <v>1</v>
      </c>
      <c r="D80" s="1" t="s">
        <v>35</v>
      </c>
      <c r="E80" s="1" t="s">
        <v>36</v>
      </c>
      <c r="F80" s="1" t="s">
        <v>751</v>
      </c>
      <c r="G80" s="1" t="s">
        <v>120</v>
      </c>
      <c r="H80" s="2">
        <v>45809</v>
      </c>
      <c r="I80" s="1" t="s">
        <v>782</v>
      </c>
      <c r="J80" s="1" t="s">
        <v>769</v>
      </c>
      <c r="K80" s="1" t="s">
        <v>783</v>
      </c>
      <c r="L80" s="1">
        <v>2023</v>
      </c>
      <c r="M80" s="1" t="s">
        <v>36</v>
      </c>
      <c r="N80" s="1" t="s">
        <v>43</v>
      </c>
      <c r="O80" s="2">
        <v>45748</v>
      </c>
      <c r="P80">
        <v>2025</v>
      </c>
      <c r="Q80">
        <v>4</v>
      </c>
      <c r="R80" s="1" t="s">
        <v>784</v>
      </c>
      <c r="S80" s="1" t="s">
        <v>43</v>
      </c>
      <c r="T80" s="1" t="s">
        <v>43</v>
      </c>
      <c r="U80" s="1" t="s">
        <v>785</v>
      </c>
      <c r="V80" s="1" t="s">
        <v>160</v>
      </c>
      <c r="W80" s="1" t="s">
        <v>64</v>
      </c>
      <c r="X80" s="1" t="s">
        <v>795</v>
      </c>
      <c r="Y80" s="1"/>
      <c r="Z80" s="1" t="s">
        <v>49</v>
      </c>
      <c r="AA80" t="b">
        <v>0</v>
      </c>
      <c r="AC80" t="b">
        <v>0</v>
      </c>
      <c r="AD80" t="b">
        <v>0</v>
      </c>
      <c r="AE80" t="b">
        <v>0</v>
      </c>
      <c r="AF80" t="b">
        <v>0</v>
      </c>
      <c r="AG80" t="b">
        <v>0</v>
      </c>
      <c r="AH80" s="1" t="s">
        <v>786</v>
      </c>
    </row>
    <row r="81" spans="1:34" x14ac:dyDescent="0.25">
      <c r="A81" s="1" t="s">
        <v>125</v>
      </c>
      <c r="B81" s="1" t="s">
        <v>126</v>
      </c>
      <c r="C81">
        <v>2</v>
      </c>
      <c r="D81" s="1" t="s">
        <v>104</v>
      </c>
      <c r="E81" s="1" t="s">
        <v>36</v>
      </c>
      <c r="F81" s="1" t="s">
        <v>85</v>
      </c>
      <c r="G81" s="1" t="s">
        <v>38</v>
      </c>
      <c r="H81" s="2">
        <v>46023</v>
      </c>
      <c r="I81" s="1" t="s">
        <v>127</v>
      </c>
      <c r="J81" s="1" t="s">
        <v>87</v>
      </c>
      <c r="K81" s="1" t="s">
        <v>128</v>
      </c>
      <c r="L81" s="1">
        <v>2024</v>
      </c>
      <c r="M81" s="1" t="s">
        <v>36</v>
      </c>
      <c r="N81" s="1" t="s">
        <v>107</v>
      </c>
      <c r="O81" s="2">
        <v>45931</v>
      </c>
      <c r="P81">
        <v>2025</v>
      </c>
      <c r="Q81">
        <v>10</v>
      </c>
      <c r="R81" s="1" t="s">
        <v>129</v>
      </c>
      <c r="S81" s="1" t="s">
        <v>43</v>
      </c>
      <c r="T81" s="1" t="s">
        <v>43</v>
      </c>
      <c r="U81" s="1" t="s">
        <v>130</v>
      </c>
      <c r="V81" s="1" t="s">
        <v>131</v>
      </c>
      <c r="W81" s="1" t="s">
        <v>64</v>
      </c>
      <c r="X81" s="1" t="s">
        <v>74</v>
      </c>
      <c r="Y81" s="1"/>
      <c r="Z81" s="1" t="s">
        <v>92</v>
      </c>
      <c r="AA81" t="b">
        <v>0</v>
      </c>
      <c r="AB81" t="b">
        <v>1</v>
      </c>
      <c r="AC81" t="b">
        <v>1</v>
      </c>
      <c r="AD81" t="b">
        <v>0</v>
      </c>
      <c r="AE81" t="b">
        <v>1</v>
      </c>
      <c r="AF81" t="b">
        <v>0</v>
      </c>
      <c r="AG81" t="b">
        <v>0</v>
      </c>
      <c r="AH81" s="1" t="s">
        <v>93</v>
      </c>
    </row>
    <row r="82" spans="1:34" x14ac:dyDescent="0.25">
      <c r="A82" s="1" t="s">
        <v>243</v>
      </c>
      <c r="B82" s="1" t="s">
        <v>244</v>
      </c>
      <c r="C82">
        <v>4</v>
      </c>
      <c r="D82" s="1" t="s">
        <v>35</v>
      </c>
      <c r="E82" s="1" t="s">
        <v>36</v>
      </c>
      <c r="F82" s="1" t="s">
        <v>85</v>
      </c>
      <c r="G82" s="1" t="s">
        <v>38</v>
      </c>
      <c r="H82" s="2">
        <v>45658</v>
      </c>
      <c r="I82" s="1" t="s">
        <v>245</v>
      </c>
      <c r="J82" s="1" t="s">
        <v>87</v>
      </c>
      <c r="K82" s="1" t="s">
        <v>246</v>
      </c>
      <c r="L82" s="1">
        <v>2024</v>
      </c>
      <c r="M82" s="1" t="s">
        <v>36</v>
      </c>
      <c r="N82" s="1" t="s">
        <v>43</v>
      </c>
      <c r="O82" s="2">
        <v>45536</v>
      </c>
      <c r="P82">
        <v>2024</v>
      </c>
      <c r="Q82">
        <v>9</v>
      </c>
      <c r="R82" s="1" t="s">
        <v>247</v>
      </c>
      <c r="S82" s="1" t="s">
        <v>43</v>
      </c>
      <c r="T82" s="1" t="s">
        <v>43</v>
      </c>
      <c r="U82" s="1" t="s">
        <v>43</v>
      </c>
      <c r="V82" s="1" t="s">
        <v>81</v>
      </c>
      <c r="W82" s="1" t="s">
        <v>139</v>
      </c>
      <c r="X82" s="1" t="s">
        <v>795</v>
      </c>
      <c r="Y82" s="1"/>
      <c r="Z82" s="1" t="s">
        <v>204</v>
      </c>
      <c r="AA82" t="b">
        <v>0</v>
      </c>
      <c r="AB82" t="b">
        <v>0</v>
      </c>
      <c r="AC82" t="b">
        <v>0</v>
      </c>
      <c r="AD82" t="b">
        <v>0</v>
      </c>
      <c r="AE82" t="b">
        <v>0</v>
      </c>
      <c r="AF82" t="b">
        <v>0</v>
      </c>
      <c r="AG82" t="b">
        <v>0</v>
      </c>
      <c r="AH82" s="1" t="s">
        <v>93</v>
      </c>
    </row>
    <row r="83" spans="1:34" x14ac:dyDescent="0.25">
      <c r="A83" s="1" t="s">
        <v>228</v>
      </c>
      <c r="B83" s="1" t="s">
        <v>229</v>
      </c>
      <c r="C83">
        <v>3</v>
      </c>
      <c r="D83" s="1" t="s">
        <v>35</v>
      </c>
      <c r="E83" s="1" t="s">
        <v>36</v>
      </c>
      <c r="F83" s="1" t="s">
        <v>85</v>
      </c>
      <c r="G83" s="1" t="s">
        <v>38</v>
      </c>
      <c r="H83" s="2">
        <v>45566</v>
      </c>
      <c r="I83" s="1" t="s">
        <v>230</v>
      </c>
      <c r="J83" s="1" t="s">
        <v>87</v>
      </c>
      <c r="K83" s="1" t="s">
        <v>231</v>
      </c>
      <c r="L83" s="1">
        <v>2024</v>
      </c>
      <c r="M83" s="1" t="s">
        <v>42</v>
      </c>
      <c r="N83" s="1" t="s">
        <v>43</v>
      </c>
      <c r="O83" s="2">
        <v>45536</v>
      </c>
      <c r="P83">
        <v>2024</v>
      </c>
      <c r="Q83">
        <v>9</v>
      </c>
      <c r="R83" s="1" t="s">
        <v>232</v>
      </c>
      <c r="S83" s="1" t="s">
        <v>43</v>
      </c>
      <c r="T83" s="1" t="s">
        <v>43</v>
      </c>
      <c r="U83" s="1" t="s">
        <v>43</v>
      </c>
      <c r="V83" s="1" t="s">
        <v>160</v>
      </c>
      <c r="W83" s="1" t="s">
        <v>64</v>
      </c>
      <c r="X83" s="1" t="s">
        <v>74</v>
      </c>
      <c r="Y83" s="1"/>
      <c r="Z83" s="1" t="s">
        <v>65</v>
      </c>
      <c r="AA83" t="b">
        <v>0</v>
      </c>
      <c r="AB83" t="b">
        <v>0</v>
      </c>
      <c r="AC83" t="b">
        <v>0</v>
      </c>
      <c r="AD83" t="b">
        <v>0</v>
      </c>
      <c r="AE83" t="b">
        <v>0</v>
      </c>
      <c r="AF83" t="b">
        <v>0</v>
      </c>
      <c r="AG83" t="b">
        <v>0</v>
      </c>
      <c r="AH83" s="1" t="s">
        <v>93</v>
      </c>
    </row>
    <row r="84" spans="1:34" x14ac:dyDescent="0.25">
      <c r="A84" s="1" t="s">
        <v>255</v>
      </c>
      <c r="B84" s="1" t="s">
        <v>256</v>
      </c>
      <c r="C84">
        <v>2</v>
      </c>
      <c r="D84" s="1" t="s">
        <v>35</v>
      </c>
      <c r="E84" s="1" t="s">
        <v>36</v>
      </c>
      <c r="F84" s="1" t="s">
        <v>85</v>
      </c>
      <c r="G84" s="1" t="s">
        <v>38</v>
      </c>
      <c r="H84" s="2">
        <v>45658</v>
      </c>
      <c r="I84" s="1" t="s">
        <v>257</v>
      </c>
      <c r="J84" s="1" t="s">
        <v>87</v>
      </c>
      <c r="K84" s="1" t="s">
        <v>258</v>
      </c>
      <c r="L84" s="1">
        <v>2024</v>
      </c>
      <c r="M84" s="1" t="s">
        <v>42</v>
      </c>
      <c r="N84" s="1" t="s">
        <v>43</v>
      </c>
      <c r="O84" s="2">
        <v>45597</v>
      </c>
      <c r="P84">
        <v>2024</v>
      </c>
      <c r="Q84">
        <v>11</v>
      </c>
      <c r="R84" s="1" t="s">
        <v>259</v>
      </c>
      <c r="S84" s="1" t="s">
        <v>43</v>
      </c>
      <c r="T84" s="1" t="s">
        <v>43</v>
      </c>
      <c r="U84" s="1" t="s">
        <v>43</v>
      </c>
      <c r="V84" s="1" t="s">
        <v>160</v>
      </c>
      <c r="W84" s="1" t="s">
        <v>64</v>
      </c>
      <c r="X84" s="1" t="s">
        <v>48</v>
      </c>
      <c r="Y84" s="1"/>
      <c r="Z84" s="1" t="s">
        <v>65</v>
      </c>
      <c r="AA84" t="b">
        <v>0</v>
      </c>
      <c r="AB84" t="b">
        <v>0</v>
      </c>
      <c r="AC84" t="b">
        <v>0</v>
      </c>
      <c r="AD84" t="b">
        <v>0</v>
      </c>
      <c r="AE84" t="b">
        <v>0</v>
      </c>
      <c r="AF84" t="b">
        <v>0</v>
      </c>
      <c r="AG84" t="b">
        <v>0</v>
      </c>
      <c r="AH84" s="1" t="s">
        <v>93</v>
      </c>
    </row>
    <row r="85" spans="1:34" x14ac:dyDescent="0.25">
      <c r="A85" s="1" t="s">
        <v>260</v>
      </c>
      <c r="B85" s="1" t="s">
        <v>261</v>
      </c>
      <c r="C85">
        <v>2</v>
      </c>
      <c r="D85" s="1" t="s">
        <v>35</v>
      </c>
      <c r="E85" s="1" t="s">
        <v>36</v>
      </c>
      <c r="F85" s="1" t="s">
        <v>85</v>
      </c>
      <c r="G85" s="1" t="s">
        <v>177</v>
      </c>
      <c r="H85" s="2">
        <v>45689</v>
      </c>
      <c r="I85" s="1" t="s">
        <v>262</v>
      </c>
      <c r="J85" s="1" t="s">
        <v>87</v>
      </c>
      <c r="K85" s="1" t="s">
        <v>208</v>
      </c>
      <c r="L85" s="1">
        <v>2024</v>
      </c>
      <c r="M85" s="1" t="s">
        <v>36</v>
      </c>
      <c r="N85" s="1" t="s">
        <v>43</v>
      </c>
      <c r="O85" s="2">
        <v>45566</v>
      </c>
      <c r="P85">
        <v>2024</v>
      </c>
      <c r="Q85">
        <v>10</v>
      </c>
      <c r="R85" s="1" t="s">
        <v>263</v>
      </c>
      <c r="S85" s="1" t="s">
        <v>43</v>
      </c>
      <c r="T85" s="1" t="s">
        <v>43</v>
      </c>
      <c r="U85" s="1" t="s">
        <v>43</v>
      </c>
      <c r="V85" s="1" t="s">
        <v>173</v>
      </c>
      <c r="W85" s="1" t="s">
        <v>64</v>
      </c>
      <c r="X85" s="1" t="s">
        <v>264</v>
      </c>
      <c r="Y85" s="1"/>
      <c r="Z85" s="1" t="s">
        <v>65</v>
      </c>
      <c r="AA85" t="b">
        <v>0</v>
      </c>
      <c r="AB85" t="b">
        <v>0</v>
      </c>
      <c r="AC85" t="b">
        <v>0</v>
      </c>
      <c r="AD85" t="b">
        <v>0</v>
      </c>
      <c r="AE85" t="b">
        <v>0</v>
      </c>
      <c r="AF85" t="b">
        <v>0</v>
      </c>
      <c r="AG85" t="b">
        <v>0</v>
      </c>
      <c r="AH85" s="1" t="s">
        <v>93</v>
      </c>
    </row>
    <row r="86" spans="1:34" x14ac:dyDescent="0.25">
      <c r="A86" s="1" t="s">
        <v>306</v>
      </c>
      <c r="B86" s="1" t="s">
        <v>307</v>
      </c>
      <c r="C86">
        <v>2</v>
      </c>
      <c r="D86" s="1" t="s">
        <v>35</v>
      </c>
      <c r="E86" s="1" t="s">
        <v>36</v>
      </c>
      <c r="F86" s="1" t="s">
        <v>284</v>
      </c>
      <c r="G86" s="1" t="s">
        <v>177</v>
      </c>
      <c r="H86" s="2">
        <v>45566</v>
      </c>
      <c r="I86" s="1" t="s">
        <v>308</v>
      </c>
      <c r="J86" s="1" t="s">
        <v>309</v>
      </c>
      <c r="K86" s="1" t="s">
        <v>310</v>
      </c>
      <c r="L86" s="1">
        <v>2024</v>
      </c>
      <c r="M86" s="1" t="s">
        <v>36</v>
      </c>
      <c r="N86" s="1" t="s">
        <v>43</v>
      </c>
      <c r="O86" s="2">
        <v>45536</v>
      </c>
      <c r="P86">
        <v>2024</v>
      </c>
      <c r="Q86">
        <v>9</v>
      </c>
      <c r="R86" s="1" t="s">
        <v>311</v>
      </c>
      <c r="S86" s="1" t="s">
        <v>43</v>
      </c>
      <c r="T86" s="1" t="s">
        <v>43</v>
      </c>
      <c r="U86" s="1" t="s">
        <v>312</v>
      </c>
      <c r="V86" s="1" t="s">
        <v>73</v>
      </c>
      <c r="W86" s="1" t="s">
        <v>274</v>
      </c>
      <c r="X86" s="1" t="s">
        <v>264</v>
      </c>
      <c r="Y86" s="1"/>
      <c r="Z86" s="1" t="s">
        <v>92</v>
      </c>
      <c r="AA86" t="b">
        <v>0</v>
      </c>
      <c r="AB86" t="b">
        <v>0</v>
      </c>
      <c r="AC86" t="b">
        <v>0</v>
      </c>
      <c r="AD86" t="b">
        <v>0</v>
      </c>
      <c r="AE86" t="b">
        <v>0</v>
      </c>
      <c r="AF86" t="b">
        <v>0</v>
      </c>
      <c r="AG86" t="b">
        <v>1</v>
      </c>
      <c r="AH86" s="1" t="s">
        <v>313</v>
      </c>
    </row>
    <row r="87" spans="1:34" x14ac:dyDescent="0.25">
      <c r="A87" s="1" t="s">
        <v>338</v>
      </c>
      <c r="B87" s="1" t="s">
        <v>339</v>
      </c>
      <c r="C87">
        <v>2</v>
      </c>
      <c r="D87" s="1" t="s">
        <v>104</v>
      </c>
      <c r="E87" s="1" t="s">
        <v>36</v>
      </c>
      <c r="F87" s="1" t="s">
        <v>316</v>
      </c>
      <c r="G87" s="1" t="s">
        <v>38</v>
      </c>
      <c r="H87" s="2">
        <v>46174</v>
      </c>
      <c r="I87" s="1" t="s">
        <v>340</v>
      </c>
      <c r="J87" s="1" t="s">
        <v>355</v>
      </c>
      <c r="K87" s="1" t="s">
        <v>341</v>
      </c>
      <c r="L87" s="1">
        <v>2024</v>
      </c>
      <c r="M87" s="1" t="s">
        <v>36</v>
      </c>
      <c r="N87" s="1" t="s">
        <v>107</v>
      </c>
      <c r="O87" s="2">
        <v>46143</v>
      </c>
      <c r="P87">
        <v>2026</v>
      </c>
      <c r="Q87">
        <v>5</v>
      </c>
      <c r="R87" s="1" t="s">
        <v>342</v>
      </c>
      <c r="S87" s="1" t="s">
        <v>43</v>
      </c>
      <c r="T87" s="1" t="s">
        <v>43</v>
      </c>
      <c r="U87" s="1" t="s">
        <v>343</v>
      </c>
      <c r="V87" s="1" t="s">
        <v>138</v>
      </c>
      <c r="W87" s="1" t="s">
        <v>64</v>
      </c>
      <c r="X87" s="1" t="s">
        <v>147</v>
      </c>
      <c r="Y87" s="1"/>
      <c r="Z87" s="1" t="s">
        <v>92</v>
      </c>
      <c r="AA87" t="b">
        <v>0</v>
      </c>
      <c r="AB87" t="b">
        <v>1</v>
      </c>
      <c r="AC87" t="b">
        <v>1</v>
      </c>
      <c r="AD87" t="b">
        <v>0</v>
      </c>
      <c r="AE87" t="b">
        <v>0</v>
      </c>
      <c r="AF87" t="b">
        <v>0</v>
      </c>
      <c r="AG87" t="b">
        <v>1</v>
      </c>
      <c r="AH87" s="1" t="s">
        <v>344</v>
      </c>
    </row>
    <row r="88" spans="1:34" x14ac:dyDescent="0.25">
      <c r="A88" s="1" t="s">
        <v>731</v>
      </c>
      <c r="B88" s="1" t="s">
        <v>732</v>
      </c>
      <c r="C88">
        <v>1</v>
      </c>
      <c r="D88" s="1" t="s">
        <v>35</v>
      </c>
      <c r="E88" s="1" t="s">
        <v>36</v>
      </c>
      <c r="F88" s="1" t="s">
        <v>395</v>
      </c>
      <c r="G88" s="1" t="s">
        <v>120</v>
      </c>
      <c r="H88" s="2">
        <v>45597</v>
      </c>
      <c r="I88" s="1" t="s">
        <v>733</v>
      </c>
      <c r="J88" s="1" t="s">
        <v>397</v>
      </c>
      <c r="K88" s="1" t="s">
        <v>405</v>
      </c>
      <c r="L88" s="1">
        <v>2024</v>
      </c>
      <c r="M88" s="1" t="s">
        <v>36</v>
      </c>
      <c r="N88" s="1" t="s">
        <v>43</v>
      </c>
      <c r="O88" s="2">
        <v>45597</v>
      </c>
      <c r="P88">
        <v>2024</v>
      </c>
      <c r="Q88">
        <v>11</v>
      </c>
      <c r="R88" s="1" t="s">
        <v>734</v>
      </c>
      <c r="S88" s="1" t="s">
        <v>43</v>
      </c>
      <c r="T88" s="1" t="s">
        <v>43</v>
      </c>
      <c r="U88" s="1" t="s">
        <v>735</v>
      </c>
      <c r="V88" s="1" t="s">
        <v>138</v>
      </c>
      <c r="W88" s="1" t="s">
        <v>139</v>
      </c>
      <c r="X88" s="1" t="s">
        <v>384</v>
      </c>
      <c r="Y88" s="1"/>
      <c r="Z88" s="1" t="s">
        <v>65</v>
      </c>
      <c r="AA88" t="b">
        <v>0</v>
      </c>
      <c r="AB88" t="b">
        <v>0</v>
      </c>
      <c r="AC88" t="b">
        <v>0</v>
      </c>
      <c r="AD88" t="b">
        <v>0</v>
      </c>
      <c r="AE88" t="b">
        <v>0</v>
      </c>
      <c r="AF88" t="b">
        <v>0</v>
      </c>
      <c r="AG88" t="b">
        <v>0</v>
      </c>
      <c r="AH88" s="1" t="s">
        <v>736</v>
      </c>
    </row>
    <row r="89" spans="1:34" x14ac:dyDescent="0.25">
      <c r="A89" s="1" t="s">
        <v>428</v>
      </c>
      <c r="B89" s="1" t="s">
        <v>429</v>
      </c>
      <c r="C89">
        <v>2</v>
      </c>
      <c r="D89" s="1" t="s">
        <v>104</v>
      </c>
      <c r="E89" s="1" t="s">
        <v>36</v>
      </c>
      <c r="F89" s="1" t="s">
        <v>395</v>
      </c>
      <c r="G89" s="1" t="s">
        <v>38</v>
      </c>
      <c r="H89" s="2">
        <v>45809</v>
      </c>
      <c r="I89" s="1" t="s">
        <v>430</v>
      </c>
      <c r="J89" s="1" t="s">
        <v>397</v>
      </c>
      <c r="K89" s="1" t="s">
        <v>431</v>
      </c>
      <c r="L89" s="1">
        <v>2024</v>
      </c>
      <c r="M89" s="1" t="s">
        <v>36</v>
      </c>
      <c r="N89" s="1" t="s">
        <v>432</v>
      </c>
      <c r="O89" s="2">
        <v>45778</v>
      </c>
      <c r="P89">
        <v>2025</v>
      </c>
      <c r="Q89">
        <v>5</v>
      </c>
      <c r="R89" s="1" t="s">
        <v>433</v>
      </c>
      <c r="S89" s="1" t="s">
        <v>43</v>
      </c>
      <c r="T89" s="1" t="s">
        <v>43</v>
      </c>
      <c r="U89" s="1" t="s">
        <v>434</v>
      </c>
      <c r="V89" s="1" t="s">
        <v>160</v>
      </c>
      <c r="W89" s="1" t="s">
        <v>64</v>
      </c>
      <c r="X89" s="1" t="s">
        <v>795</v>
      </c>
      <c r="Y89" s="1"/>
      <c r="Z89" s="1" t="s">
        <v>65</v>
      </c>
      <c r="AA89" t="b">
        <v>0</v>
      </c>
      <c r="AB89" t="b">
        <v>0</v>
      </c>
      <c r="AC89" t="b">
        <v>0</v>
      </c>
      <c r="AD89" t="b">
        <v>0</v>
      </c>
      <c r="AE89" t="b">
        <v>1</v>
      </c>
      <c r="AF89" t="b">
        <v>0</v>
      </c>
      <c r="AG89" t="b">
        <v>0</v>
      </c>
      <c r="AH89" s="1" t="s">
        <v>435</v>
      </c>
    </row>
    <row r="90" spans="1:34" x14ac:dyDescent="0.25">
      <c r="A90" s="1" t="s">
        <v>465</v>
      </c>
      <c r="B90" s="1" t="s">
        <v>466</v>
      </c>
      <c r="C90">
        <v>2</v>
      </c>
      <c r="D90" s="1" t="s">
        <v>104</v>
      </c>
      <c r="E90" s="1" t="s">
        <v>36</v>
      </c>
      <c r="F90" s="1" t="s">
        <v>395</v>
      </c>
      <c r="G90" s="1" t="s">
        <v>38</v>
      </c>
      <c r="H90" s="2">
        <v>45962</v>
      </c>
      <c r="I90" s="1" t="s">
        <v>467</v>
      </c>
      <c r="J90" s="1" t="s">
        <v>397</v>
      </c>
      <c r="K90" s="1" t="s">
        <v>431</v>
      </c>
      <c r="L90" s="1">
        <v>2024</v>
      </c>
      <c r="M90" s="1" t="s">
        <v>36</v>
      </c>
      <c r="N90" s="1" t="s">
        <v>439</v>
      </c>
      <c r="O90" s="2">
        <v>45870</v>
      </c>
      <c r="P90">
        <v>2025</v>
      </c>
      <c r="Q90">
        <v>8</v>
      </c>
      <c r="R90" s="1" t="s">
        <v>468</v>
      </c>
      <c r="S90" s="1" t="s">
        <v>43</v>
      </c>
      <c r="T90" s="1" t="s">
        <v>43</v>
      </c>
      <c r="U90" s="1" t="s">
        <v>469</v>
      </c>
      <c r="V90" s="1" t="s">
        <v>110</v>
      </c>
      <c r="W90" s="1" t="s">
        <v>274</v>
      </c>
      <c r="X90" s="1" t="s">
        <v>48</v>
      </c>
      <c r="Y90" s="1"/>
      <c r="Z90" s="1" t="s">
        <v>92</v>
      </c>
      <c r="AA90" t="b">
        <v>0</v>
      </c>
      <c r="AB90" t="b">
        <v>1</v>
      </c>
      <c r="AC90" t="b">
        <v>1</v>
      </c>
      <c r="AD90" t="b">
        <v>0</v>
      </c>
      <c r="AE90" t="b">
        <v>0</v>
      </c>
      <c r="AF90" t="b">
        <v>0</v>
      </c>
      <c r="AG90" t="b">
        <v>1</v>
      </c>
      <c r="AH90" s="1" t="s">
        <v>470</v>
      </c>
    </row>
    <row r="91" spans="1:34" x14ac:dyDescent="0.25">
      <c r="A91" s="1" t="s">
        <v>484</v>
      </c>
      <c r="B91" s="1" t="s">
        <v>485</v>
      </c>
      <c r="C91">
        <v>2</v>
      </c>
      <c r="D91" s="1" t="s">
        <v>104</v>
      </c>
      <c r="E91" s="1" t="s">
        <v>36</v>
      </c>
      <c r="F91" s="1" t="s">
        <v>395</v>
      </c>
      <c r="G91" s="1" t="s">
        <v>38</v>
      </c>
      <c r="H91" s="2">
        <v>45992</v>
      </c>
      <c r="I91" s="1" t="s">
        <v>486</v>
      </c>
      <c r="J91" s="1" t="s">
        <v>397</v>
      </c>
      <c r="K91" s="1" t="s">
        <v>431</v>
      </c>
      <c r="L91" s="1">
        <v>2024</v>
      </c>
      <c r="M91" s="1" t="s">
        <v>36</v>
      </c>
      <c r="N91" s="1" t="s">
        <v>107</v>
      </c>
      <c r="O91" s="2">
        <v>45931</v>
      </c>
      <c r="P91">
        <v>2025</v>
      </c>
      <c r="Q91">
        <v>10</v>
      </c>
      <c r="R91" s="1" t="s">
        <v>487</v>
      </c>
      <c r="S91" s="1" t="s">
        <v>43</v>
      </c>
      <c r="T91" s="1" t="s">
        <v>43</v>
      </c>
      <c r="U91" s="1" t="s">
        <v>488</v>
      </c>
      <c r="V91" s="1" t="s">
        <v>173</v>
      </c>
      <c r="W91" s="1" t="s">
        <v>274</v>
      </c>
      <c r="X91" s="1" t="s">
        <v>74</v>
      </c>
      <c r="Y91" s="1"/>
      <c r="Z91" s="1" t="s">
        <v>92</v>
      </c>
      <c r="AA91" t="b">
        <v>0</v>
      </c>
      <c r="AB91" t="b">
        <v>1</v>
      </c>
      <c r="AC91" t="b">
        <v>1</v>
      </c>
      <c r="AD91" t="b">
        <v>0</v>
      </c>
      <c r="AE91" t="b">
        <v>1</v>
      </c>
      <c r="AF91" t="b">
        <v>0</v>
      </c>
      <c r="AG91" t="b">
        <v>1</v>
      </c>
      <c r="AH91" s="1" t="s">
        <v>489</v>
      </c>
    </row>
    <row r="92" spans="1:34" x14ac:dyDescent="0.25">
      <c r="A92" s="1" t="s">
        <v>743</v>
      </c>
      <c r="B92" s="1" t="s">
        <v>744</v>
      </c>
      <c r="C92">
        <v>2</v>
      </c>
      <c r="D92" s="1" t="s">
        <v>35</v>
      </c>
      <c r="E92" s="1" t="s">
        <v>36</v>
      </c>
      <c r="F92" s="1" t="s">
        <v>395</v>
      </c>
      <c r="G92" s="1" t="s">
        <v>177</v>
      </c>
      <c r="H92" s="2">
        <v>45658</v>
      </c>
      <c r="I92" s="1" t="s">
        <v>745</v>
      </c>
      <c r="J92" s="1" t="s">
        <v>397</v>
      </c>
      <c r="K92" s="1" t="s">
        <v>431</v>
      </c>
      <c r="L92" s="1">
        <v>2024</v>
      </c>
      <c r="M92" s="1" t="s">
        <v>36</v>
      </c>
      <c r="N92" s="1" t="s">
        <v>43</v>
      </c>
      <c r="O92" s="2">
        <v>45627</v>
      </c>
      <c r="P92">
        <v>2024</v>
      </c>
      <c r="Q92">
        <v>12</v>
      </c>
      <c r="R92" s="1" t="s">
        <v>746</v>
      </c>
      <c r="S92" s="1" t="s">
        <v>43</v>
      </c>
      <c r="T92" s="1" t="s">
        <v>43</v>
      </c>
      <c r="U92" s="1" t="s">
        <v>747</v>
      </c>
      <c r="V92" s="1" t="s">
        <v>173</v>
      </c>
      <c r="W92" s="1" t="s">
        <v>47</v>
      </c>
      <c r="X92" s="1" t="s">
        <v>795</v>
      </c>
      <c r="Y92" s="1"/>
      <c r="Z92" s="1" t="s">
        <v>92</v>
      </c>
      <c r="AA92" t="b">
        <v>0</v>
      </c>
      <c r="AB92" t="b">
        <v>0</v>
      </c>
      <c r="AC92" t="b">
        <v>0</v>
      </c>
      <c r="AD92" t="b">
        <v>0</v>
      </c>
      <c r="AE92" t="b">
        <v>0</v>
      </c>
      <c r="AF92" t="b">
        <v>0</v>
      </c>
      <c r="AG92" t="b">
        <v>0</v>
      </c>
      <c r="AH92" s="1" t="s">
        <v>748</v>
      </c>
    </row>
    <row r="93" spans="1:34" x14ac:dyDescent="0.25">
      <c r="A93" s="1" t="s">
        <v>663</v>
      </c>
      <c r="B93" s="1" t="s">
        <v>664</v>
      </c>
      <c r="C93">
        <v>3</v>
      </c>
      <c r="D93" s="1" t="s">
        <v>35</v>
      </c>
      <c r="E93" s="1" t="s">
        <v>36</v>
      </c>
      <c r="F93" s="1" t="s">
        <v>395</v>
      </c>
      <c r="G93" s="1" t="s">
        <v>38</v>
      </c>
      <c r="H93" s="2">
        <v>45474</v>
      </c>
      <c r="I93" s="1" t="s">
        <v>665</v>
      </c>
      <c r="J93" s="1" t="s">
        <v>397</v>
      </c>
      <c r="K93" s="1" t="s">
        <v>398</v>
      </c>
      <c r="L93" s="1">
        <v>2024</v>
      </c>
      <c r="M93" s="1" t="s">
        <v>36</v>
      </c>
      <c r="N93" s="1" t="s">
        <v>43</v>
      </c>
      <c r="O93" s="2">
        <v>45444</v>
      </c>
      <c r="P93">
        <v>2024</v>
      </c>
      <c r="Q93">
        <v>6</v>
      </c>
      <c r="R93" s="1" t="s">
        <v>666</v>
      </c>
      <c r="S93" s="1" t="s">
        <v>43</v>
      </c>
      <c r="T93" s="1" t="s">
        <v>43</v>
      </c>
      <c r="U93" s="1" t="s">
        <v>667</v>
      </c>
      <c r="V93" s="1" t="s">
        <v>131</v>
      </c>
      <c r="W93" s="1" t="s">
        <v>64</v>
      </c>
      <c r="X93" s="1" t="s">
        <v>795</v>
      </c>
      <c r="Y93" s="1"/>
      <c r="Z93" s="1" t="s">
        <v>92</v>
      </c>
      <c r="AA93" t="b">
        <v>0</v>
      </c>
      <c r="AB93" t="b">
        <v>0</v>
      </c>
      <c r="AC93" t="b">
        <v>0</v>
      </c>
      <c r="AD93" t="b">
        <v>0</v>
      </c>
      <c r="AE93" t="b">
        <v>0</v>
      </c>
      <c r="AF93" t="b">
        <v>0</v>
      </c>
      <c r="AG93" t="b">
        <v>1</v>
      </c>
      <c r="AH93" s="1" t="s">
        <v>668</v>
      </c>
    </row>
    <row r="94" spans="1:34" x14ac:dyDescent="0.25">
      <c r="A94" s="1" t="s">
        <v>688</v>
      </c>
      <c r="B94" s="1" t="s">
        <v>689</v>
      </c>
      <c r="C94">
        <v>2</v>
      </c>
      <c r="D94" s="1" t="s">
        <v>35</v>
      </c>
      <c r="E94" s="1" t="s">
        <v>36</v>
      </c>
      <c r="F94" s="1" t="s">
        <v>395</v>
      </c>
      <c r="G94" s="1" t="s">
        <v>38</v>
      </c>
      <c r="H94" s="2">
        <v>45505</v>
      </c>
      <c r="I94" s="1" t="s">
        <v>690</v>
      </c>
      <c r="J94" s="1" t="s">
        <v>397</v>
      </c>
      <c r="K94" s="1" t="s">
        <v>691</v>
      </c>
      <c r="L94" s="1">
        <v>2024</v>
      </c>
      <c r="M94" s="1" t="s">
        <v>36</v>
      </c>
      <c r="N94" s="1" t="s">
        <v>43</v>
      </c>
      <c r="O94" s="2">
        <v>45444</v>
      </c>
      <c r="P94">
        <v>2024</v>
      </c>
      <c r="Q94">
        <v>6</v>
      </c>
      <c r="R94" s="1" t="s">
        <v>692</v>
      </c>
      <c r="S94" s="1" t="s">
        <v>43</v>
      </c>
      <c r="T94" s="1" t="s">
        <v>43</v>
      </c>
      <c r="U94" s="1" t="s">
        <v>693</v>
      </c>
      <c r="V94" s="1" t="s">
        <v>110</v>
      </c>
      <c r="W94" s="1" t="s">
        <v>47</v>
      </c>
      <c r="X94" s="1" t="s">
        <v>117</v>
      </c>
      <c r="Y94" s="1"/>
      <c r="Z94" s="1" t="s">
        <v>92</v>
      </c>
      <c r="AA94" t="b">
        <v>0</v>
      </c>
      <c r="AB94" t="b">
        <v>0</v>
      </c>
      <c r="AC94" t="b">
        <v>0</v>
      </c>
      <c r="AD94" t="b">
        <v>0</v>
      </c>
      <c r="AE94" t="b">
        <v>0</v>
      </c>
      <c r="AF94" t="b">
        <v>0</v>
      </c>
      <c r="AG94" t="b">
        <v>0</v>
      </c>
      <c r="AH94" s="1" t="s">
        <v>694</v>
      </c>
    </row>
    <row r="95" spans="1:34" x14ac:dyDescent="0.25">
      <c r="A95" s="1" t="s">
        <v>737</v>
      </c>
      <c r="B95" s="1" t="s">
        <v>738</v>
      </c>
      <c r="C95">
        <v>2</v>
      </c>
      <c r="D95" s="1" t="s">
        <v>35</v>
      </c>
      <c r="E95" s="1" t="s">
        <v>36</v>
      </c>
      <c r="F95" s="1" t="s">
        <v>395</v>
      </c>
      <c r="G95" s="1" t="s">
        <v>38</v>
      </c>
      <c r="H95" s="2">
        <v>45658</v>
      </c>
      <c r="I95" s="1" t="s">
        <v>739</v>
      </c>
      <c r="J95" s="1" t="s">
        <v>397</v>
      </c>
      <c r="K95" s="1" t="s">
        <v>691</v>
      </c>
      <c r="L95" s="1">
        <v>2024</v>
      </c>
      <c r="M95" s="1" t="s">
        <v>36</v>
      </c>
      <c r="N95" s="1" t="s">
        <v>43</v>
      </c>
      <c r="O95" s="2">
        <v>45627</v>
      </c>
      <c r="P95">
        <v>2024</v>
      </c>
      <c r="Q95">
        <v>12</v>
      </c>
      <c r="R95" s="1" t="s">
        <v>740</v>
      </c>
      <c r="S95" s="1" t="s">
        <v>43</v>
      </c>
      <c r="T95" s="1" t="s">
        <v>43</v>
      </c>
      <c r="U95" s="1" t="s">
        <v>741</v>
      </c>
      <c r="V95" s="1" t="s">
        <v>160</v>
      </c>
      <c r="W95" s="1" t="s">
        <v>64</v>
      </c>
      <c r="X95" s="1" t="s">
        <v>117</v>
      </c>
      <c r="Y95" s="1"/>
      <c r="Z95" s="1" t="s">
        <v>92</v>
      </c>
      <c r="AA95" t="b">
        <v>0</v>
      </c>
      <c r="AB95" t="b">
        <v>0</v>
      </c>
      <c r="AC95" t="b">
        <v>0</v>
      </c>
      <c r="AD95" t="b">
        <v>0</v>
      </c>
      <c r="AE95" t="b">
        <v>0</v>
      </c>
      <c r="AF95" t="b">
        <v>0</v>
      </c>
      <c r="AG95" t="b">
        <v>0</v>
      </c>
      <c r="AH95" s="1" t="s">
        <v>742</v>
      </c>
    </row>
    <row r="96" spans="1:34" x14ac:dyDescent="0.25">
      <c r="A96" s="1" t="s">
        <v>632</v>
      </c>
      <c r="B96" s="1" t="s">
        <v>633</v>
      </c>
      <c r="C96">
        <v>2</v>
      </c>
      <c r="D96" s="1" t="s">
        <v>35</v>
      </c>
      <c r="E96" s="1" t="s">
        <v>36</v>
      </c>
      <c r="F96" s="1" t="s">
        <v>395</v>
      </c>
      <c r="G96" s="1" t="s">
        <v>38</v>
      </c>
      <c r="H96" s="2">
        <v>45108</v>
      </c>
      <c r="I96" s="1" t="s">
        <v>634</v>
      </c>
      <c r="J96" s="1" t="s">
        <v>397</v>
      </c>
      <c r="K96" s="1" t="s">
        <v>412</v>
      </c>
      <c r="L96" s="1">
        <v>2024</v>
      </c>
      <c r="M96" s="1" t="s">
        <v>36</v>
      </c>
      <c r="N96" s="1" t="s">
        <v>43</v>
      </c>
      <c r="O96" s="2">
        <v>45078</v>
      </c>
      <c r="P96">
        <v>2023</v>
      </c>
      <c r="Q96">
        <v>6</v>
      </c>
      <c r="R96" s="1" t="s">
        <v>635</v>
      </c>
      <c r="S96" s="1" t="s">
        <v>43</v>
      </c>
      <c r="T96" s="1" t="s">
        <v>43</v>
      </c>
      <c r="U96" s="1" t="s">
        <v>636</v>
      </c>
      <c r="V96" s="1" t="s">
        <v>100</v>
      </c>
      <c r="W96" s="1" t="s">
        <v>64</v>
      </c>
      <c r="X96" s="1" t="s">
        <v>49</v>
      </c>
      <c r="Y96" s="1"/>
      <c r="Z96" s="1" t="s">
        <v>65</v>
      </c>
      <c r="AA96" t="b">
        <v>0</v>
      </c>
      <c r="AB96" t="b">
        <v>0</v>
      </c>
      <c r="AC96" t="b">
        <v>0</v>
      </c>
      <c r="AD96" t="b">
        <v>0</v>
      </c>
      <c r="AE96" t="b">
        <v>0</v>
      </c>
      <c r="AF96" t="b">
        <v>0</v>
      </c>
      <c r="AG96" t="b">
        <v>0</v>
      </c>
      <c r="AH96" s="1" t="s">
        <v>637</v>
      </c>
    </row>
    <row r="97" spans="1:34" x14ac:dyDescent="0.25">
      <c r="A97" s="1" t="s">
        <v>651</v>
      </c>
      <c r="B97" s="1" t="s">
        <v>652</v>
      </c>
      <c r="C97">
        <v>2</v>
      </c>
      <c r="D97" s="1" t="s">
        <v>35</v>
      </c>
      <c r="E97" s="1" t="s">
        <v>36</v>
      </c>
      <c r="F97" s="1" t="s">
        <v>395</v>
      </c>
      <c r="G97" s="1" t="s">
        <v>38</v>
      </c>
      <c r="H97" s="2">
        <v>45413</v>
      </c>
      <c r="I97" s="1" t="s">
        <v>653</v>
      </c>
      <c r="J97" s="1" t="s">
        <v>397</v>
      </c>
      <c r="K97" s="1" t="s">
        <v>412</v>
      </c>
      <c r="L97" s="1">
        <v>2024</v>
      </c>
      <c r="M97" s="1" t="s">
        <v>36</v>
      </c>
      <c r="N97" s="1" t="s">
        <v>43</v>
      </c>
      <c r="O97" s="2">
        <v>45352</v>
      </c>
      <c r="P97">
        <v>2024</v>
      </c>
      <c r="Q97">
        <v>3</v>
      </c>
      <c r="R97" s="1" t="s">
        <v>654</v>
      </c>
      <c r="S97" s="1" t="s">
        <v>43</v>
      </c>
      <c r="T97" s="1" t="s">
        <v>43</v>
      </c>
      <c r="U97" s="1" t="s">
        <v>655</v>
      </c>
      <c r="V97" s="1" t="s">
        <v>173</v>
      </c>
      <c r="W97" s="1" t="s">
        <v>64</v>
      </c>
      <c r="X97" s="1" t="s">
        <v>48</v>
      </c>
      <c r="Y97" s="1"/>
      <c r="Z97" s="1" t="s">
        <v>65</v>
      </c>
      <c r="AA97" t="b">
        <v>0</v>
      </c>
      <c r="AB97" t="b">
        <v>0</v>
      </c>
      <c r="AC97" t="b">
        <v>0</v>
      </c>
      <c r="AD97" t="b">
        <v>0</v>
      </c>
      <c r="AE97" t="b">
        <v>0</v>
      </c>
      <c r="AF97" t="b">
        <v>0</v>
      </c>
      <c r="AG97" t="b">
        <v>1</v>
      </c>
      <c r="AH97" s="1" t="s">
        <v>656</v>
      </c>
    </row>
    <row r="98" spans="1:34" x14ac:dyDescent="0.25">
      <c r="A98" s="1" t="s">
        <v>787</v>
      </c>
      <c r="B98" s="1" t="s">
        <v>788</v>
      </c>
      <c r="C98">
        <v>1</v>
      </c>
      <c r="D98" s="1" t="s">
        <v>104</v>
      </c>
      <c r="E98" s="1" t="s">
        <v>36</v>
      </c>
      <c r="F98" s="1" t="s">
        <v>751</v>
      </c>
      <c r="G98" s="1" t="s">
        <v>120</v>
      </c>
      <c r="H98" s="2">
        <v>45901</v>
      </c>
      <c r="I98" s="1" t="s">
        <v>789</v>
      </c>
      <c r="J98" s="1" t="s">
        <v>769</v>
      </c>
      <c r="K98" s="1" t="s">
        <v>790</v>
      </c>
      <c r="L98" s="1">
        <v>2024</v>
      </c>
      <c r="M98" s="1" t="s">
        <v>36</v>
      </c>
      <c r="N98" s="1" t="s">
        <v>460</v>
      </c>
      <c r="O98" s="2">
        <v>45870</v>
      </c>
      <c r="P98">
        <v>2025</v>
      </c>
      <c r="Q98">
        <v>8</v>
      </c>
      <c r="R98" s="1" t="s">
        <v>791</v>
      </c>
      <c r="S98" s="1" t="s">
        <v>43</v>
      </c>
      <c r="T98" s="1" t="s">
        <v>43</v>
      </c>
      <c r="U98" s="1" t="s">
        <v>43</v>
      </c>
      <c r="V98" s="1" t="s">
        <v>43</v>
      </c>
      <c r="W98" s="1" t="s">
        <v>274</v>
      </c>
      <c r="X98" s="1" t="s">
        <v>74</v>
      </c>
      <c r="Y98" s="1"/>
      <c r="Z98" s="1" t="s">
        <v>92</v>
      </c>
      <c r="AA98" t="b">
        <v>0</v>
      </c>
      <c r="AB98" t="b">
        <v>1</v>
      </c>
      <c r="AC98" t="b">
        <v>1</v>
      </c>
      <c r="AD98" t="b">
        <v>0</v>
      </c>
      <c r="AE98" t="b">
        <v>1</v>
      </c>
      <c r="AF98" t="b">
        <v>0</v>
      </c>
      <c r="AG98" t="b">
        <v>0</v>
      </c>
      <c r="AH98" s="1" t="s">
        <v>792</v>
      </c>
    </row>
    <row r="99" spans="1:34" x14ac:dyDescent="0.25">
      <c r="A99" s="1" t="s">
        <v>111</v>
      </c>
      <c r="B99" s="1" t="s">
        <v>112</v>
      </c>
      <c r="C99">
        <v>4</v>
      </c>
      <c r="D99" s="1" t="s">
        <v>104</v>
      </c>
      <c r="E99" s="1" t="s">
        <v>36</v>
      </c>
      <c r="F99" s="1" t="s">
        <v>85</v>
      </c>
      <c r="G99" s="1" t="s">
        <v>38</v>
      </c>
      <c r="H99" s="2">
        <v>46054</v>
      </c>
      <c r="I99" s="1" t="s">
        <v>113</v>
      </c>
      <c r="J99" s="1" t="s">
        <v>87</v>
      </c>
      <c r="K99" s="1" t="s">
        <v>114</v>
      </c>
      <c r="L99" s="1">
        <v>2025</v>
      </c>
      <c r="M99" s="1" t="s">
        <v>36</v>
      </c>
      <c r="N99" s="1" t="s">
        <v>107</v>
      </c>
      <c r="O99" s="2">
        <v>45962</v>
      </c>
      <c r="P99">
        <v>2025</v>
      </c>
      <c r="Q99">
        <v>11</v>
      </c>
      <c r="R99" s="1" t="s">
        <v>115</v>
      </c>
      <c r="S99" s="1" t="s">
        <v>43</v>
      </c>
      <c r="T99" s="1" t="s">
        <v>43</v>
      </c>
      <c r="U99" s="1" t="s">
        <v>43</v>
      </c>
      <c r="V99" s="1" t="s">
        <v>116</v>
      </c>
      <c r="W99" s="1" t="s">
        <v>64</v>
      </c>
      <c r="X99" s="1" t="s">
        <v>117</v>
      </c>
      <c r="Y99" s="1"/>
      <c r="Z99" s="1" t="s">
        <v>65</v>
      </c>
      <c r="AA99" t="b">
        <v>0</v>
      </c>
      <c r="AB99" t="b">
        <v>0</v>
      </c>
      <c r="AC99" t="b">
        <v>0</v>
      </c>
      <c r="AD99" t="b">
        <v>0</v>
      </c>
      <c r="AE99" t="b">
        <v>1</v>
      </c>
      <c r="AF99" t="b">
        <v>0</v>
      </c>
      <c r="AG99" t="b">
        <v>0</v>
      </c>
      <c r="AH99" s="1" t="s">
        <v>93</v>
      </c>
    </row>
    <row r="100" spans="1:34" x14ac:dyDescent="0.25">
      <c r="A100" s="1" t="s">
        <v>102</v>
      </c>
      <c r="B100" s="1" t="s">
        <v>103</v>
      </c>
      <c r="C100">
        <v>5</v>
      </c>
      <c r="D100" s="1" t="s">
        <v>104</v>
      </c>
      <c r="E100" s="1" t="s">
        <v>36</v>
      </c>
      <c r="F100" s="1" t="s">
        <v>85</v>
      </c>
      <c r="G100" s="1" t="s">
        <v>38</v>
      </c>
      <c r="H100" s="2">
        <v>46054</v>
      </c>
      <c r="I100" s="1" t="s">
        <v>105</v>
      </c>
      <c r="J100" s="1" t="s">
        <v>87</v>
      </c>
      <c r="K100" s="1" t="s">
        <v>106</v>
      </c>
      <c r="L100" s="1">
        <v>2025</v>
      </c>
      <c r="M100" s="1" t="s">
        <v>36</v>
      </c>
      <c r="N100" s="1" t="s">
        <v>107</v>
      </c>
      <c r="O100" s="2">
        <v>45931</v>
      </c>
      <c r="P100">
        <v>2025</v>
      </c>
      <c r="Q100">
        <v>10</v>
      </c>
      <c r="R100" s="1" t="s">
        <v>108</v>
      </c>
      <c r="S100" s="1" t="s">
        <v>43</v>
      </c>
      <c r="T100" s="1" t="s">
        <v>43</v>
      </c>
      <c r="U100" s="1" t="s">
        <v>109</v>
      </c>
      <c r="V100" s="1" t="s">
        <v>110</v>
      </c>
      <c r="W100" s="1" t="s">
        <v>64</v>
      </c>
      <c r="X100" s="1" t="s">
        <v>795</v>
      </c>
      <c r="Y100" s="1"/>
      <c r="Z100" s="1" t="s">
        <v>65</v>
      </c>
      <c r="AA100" t="b">
        <v>0</v>
      </c>
      <c r="AB100" t="b">
        <v>0</v>
      </c>
      <c r="AC100" t="b">
        <v>0</v>
      </c>
      <c r="AD100" t="b">
        <v>0</v>
      </c>
      <c r="AE100" t="b">
        <v>1</v>
      </c>
      <c r="AF100" t="b">
        <v>0</v>
      </c>
      <c r="AG100" t="b">
        <v>1</v>
      </c>
      <c r="AH100" s="1" t="s">
        <v>93</v>
      </c>
    </row>
    <row r="101" spans="1:34" x14ac:dyDescent="0.25">
      <c r="A101" s="1" t="s">
        <v>314</v>
      </c>
      <c r="B101" s="1" t="s">
        <v>315</v>
      </c>
      <c r="C101">
        <v>2</v>
      </c>
      <c r="D101" s="1" t="s">
        <v>35</v>
      </c>
      <c r="E101" s="1" t="s">
        <v>36</v>
      </c>
      <c r="F101" s="1" t="s">
        <v>316</v>
      </c>
      <c r="G101" s="1" t="s">
        <v>38</v>
      </c>
      <c r="H101" s="2">
        <v>45748</v>
      </c>
      <c r="I101" s="1" t="s">
        <v>317</v>
      </c>
      <c r="J101" s="1" t="s">
        <v>355</v>
      </c>
      <c r="K101" s="1" t="s">
        <v>318</v>
      </c>
      <c r="L101" s="1">
        <v>2025</v>
      </c>
      <c r="M101" s="1" t="s">
        <v>36</v>
      </c>
      <c r="N101" s="1" t="s">
        <v>43</v>
      </c>
      <c r="O101" s="2">
        <v>45689</v>
      </c>
      <c r="P101">
        <v>2025</v>
      </c>
      <c r="Q101">
        <v>2</v>
      </c>
      <c r="R101" s="1" t="s">
        <v>319</v>
      </c>
      <c r="S101" s="1" t="s">
        <v>43</v>
      </c>
      <c r="T101" s="1" t="s">
        <v>43</v>
      </c>
      <c r="U101" s="1" t="s">
        <v>320</v>
      </c>
      <c r="V101" s="1" t="s">
        <v>321</v>
      </c>
      <c r="W101" s="1" t="s">
        <v>64</v>
      </c>
      <c r="X101" s="1" t="s">
        <v>795</v>
      </c>
      <c r="Y101" s="1"/>
      <c r="Z101" s="1" t="s">
        <v>49</v>
      </c>
      <c r="AA101" t="b">
        <v>0</v>
      </c>
      <c r="AC101" t="b">
        <v>0</v>
      </c>
      <c r="AD101" t="b">
        <v>0</v>
      </c>
      <c r="AE101" t="b">
        <v>0</v>
      </c>
      <c r="AF101" t="b">
        <v>0</v>
      </c>
      <c r="AG101" t="b">
        <v>1</v>
      </c>
      <c r="AH101" s="1" t="s">
        <v>322</v>
      </c>
    </row>
    <row r="102" spans="1:34" x14ac:dyDescent="0.25">
      <c r="A102" s="1" t="s">
        <v>323</v>
      </c>
      <c r="B102" s="1" t="s">
        <v>324</v>
      </c>
      <c r="C102">
        <v>2</v>
      </c>
      <c r="D102" s="1" t="s">
        <v>104</v>
      </c>
      <c r="E102" s="1" t="s">
        <v>36</v>
      </c>
      <c r="F102" s="1" t="s">
        <v>316</v>
      </c>
      <c r="G102" s="1" t="s">
        <v>38</v>
      </c>
      <c r="H102" s="2">
        <v>45931</v>
      </c>
      <c r="I102" s="1" t="s">
        <v>325</v>
      </c>
      <c r="J102" s="1" t="s">
        <v>355</v>
      </c>
      <c r="K102" s="1" t="s">
        <v>326</v>
      </c>
      <c r="L102" s="1">
        <v>2025</v>
      </c>
      <c r="M102" s="1" t="s">
        <v>36</v>
      </c>
      <c r="N102" s="1" t="s">
        <v>107</v>
      </c>
      <c r="O102" s="2">
        <v>45901</v>
      </c>
      <c r="P102">
        <v>2025</v>
      </c>
      <c r="Q102">
        <v>9</v>
      </c>
      <c r="R102" s="1" t="s">
        <v>327</v>
      </c>
      <c r="S102" s="1" t="s">
        <v>43</v>
      </c>
      <c r="T102" s="1" t="s">
        <v>43</v>
      </c>
      <c r="U102" s="1" t="s">
        <v>328</v>
      </c>
      <c r="V102" s="1" t="s">
        <v>329</v>
      </c>
      <c r="W102" s="1" t="s">
        <v>64</v>
      </c>
      <c r="X102" s="1" t="s">
        <v>48</v>
      </c>
      <c r="Y102" s="1"/>
      <c r="Z102" s="1" t="s">
        <v>65</v>
      </c>
      <c r="AA102" t="b">
        <v>0</v>
      </c>
      <c r="AB102" t="b">
        <v>0</v>
      </c>
      <c r="AC102" t="b">
        <v>0</v>
      </c>
      <c r="AD102" t="b">
        <v>0</v>
      </c>
      <c r="AE102" t="b">
        <v>1</v>
      </c>
      <c r="AF102" t="b">
        <v>0</v>
      </c>
      <c r="AG102" t="b">
        <v>0</v>
      </c>
      <c r="AH102" s="1" t="s">
        <v>330</v>
      </c>
    </row>
    <row r="103" spans="1:34" x14ac:dyDescent="0.25">
      <c r="A103" s="1" t="s">
        <v>331</v>
      </c>
      <c r="B103" s="1" t="s">
        <v>332</v>
      </c>
      <c r="C103">
        <v>2</v>
      </c>
      <c r="D103" s="1" t="s">
        <v>104</v>
      </c>
      <c r="E103" s="1" t="s">
        <v>36</v>
      </c>
      <c r="F103" s="1" t="s">
        <v>316</v>
      </c>
      <c r="G103" s="1" t="s">
        <v>38</v>
      </c>
      <c r="H103" s="2">
        <v>46054</v>
      </c>
      <c r="I103" s="1" t="s">
        <v>333</v>
      </c>
      <c r="J103" s="1" t="s">
        <v>355</v>
      </c>
      <c r="K103" s="1" t="s">
        <v>326</v>
      </c>
      <c r="L103" s="1">
        <v>2025</v>
      </c>
      <c r="M103" s="1" t="s">
        <v>36</v>
      </c>
      <c r="N103" s="1" t="s">
        <v>107</v>
      </c>
      <c r="O103" s="2">
        <v>45931</v>
      </c>
      <c r="P103">
        <v>2025</v>
      </c>
      <c r="Q103">
        <v>10</v>
      </c>
      <c r="R103" s="1" t="s">
        <v>334</v>
      </c>
      <c r="S103" s="1" t="s">
        <v>43</v>
      </c>
      <c r="T103" s="1" t="s">
        <v>43</v>
      </c>
      <c r="U103" s="1" t="s">
        <v>335</v>
      </c>
      <c r="V103" s="1" t="s">
        <v>336</v>
      </c>
      <c r="W103" s="1" t="s">
        <v>64</v>
      </c>
      <c r="X103" s="1" t="s">
        <v>48</v>
      </c>
      <c r="Y103" s="1"/>
      <c r="Z103" s="1" t="s">
        <v>92</v>
      </c>
      <c r="AA103" t="b">
        <v>0</v>
      </c>
      <c r="AB103" t="b">
        <v>1</v>
      </c>
      <c r="AC103" t="b">
        <v>1</v>
      </c>
      <c r="AD103" t="b">
        <v>0</v>
      </c>
      <c r="AE103" t="b">
        <v>0</v>
      </c>
      <c r="AF103" t="b">
        <v>0</v>
      </c>
      <c r="AG103" t="b">
        <v>0</v>
      </c>
      <c r="AH103" s="1" t="s">
        <v>337</v>
      </c>
    </row>
    <row r="104" spans="1:34" x14ac:dyDescent="0.25">
      <c r="A104" s="1" t="s">
        <v>132</v>
      </c>
      <c r="B104" s="1" t="s">
        <v>133</v>
      </c>
      <c r="C104">
        <v>1</v>
      </c>
      <c r="D104" s="1" t="s">
        <v>104</v>
      </c>
      <c r="E104" s="1" t="s">
        <v>36</v>
      </c>
      <c r="F104" s="1" t="s">
        <v>85</v>
      </c>
      <c r="G104" s="1" t="s">
        <v>120</v>
      </c>
      <c r="H104" s="2">
        <v>46082</v>
      </c>
      <c r="I104" s="1" t="s">
        <v>134</v>
      </c>
      <c r="J104" s="1" t="s">
        <v>794</v>
      </c>
      <c r="K104" s="1" t="s">
        <v>135</v>
      </c>
      <c r="L104" s="1">
        <v>2025</v>
      </c>
      <c r="M104" s="1" t="s">
        <v>36</v>
      </c>
      <c r="N104" s="1" t="s">
        <v>107</v>
      </c>
      <c r="O104" s="2">
        <v>45992</v>
      </c>
      <c r="P104">
        <v>2025</v>
      </c>
      <c r="Q104">
        <v>12</v>
      </c>
      <c r="R104" s="1" t="s">
        <v>136</v>
      </c>
      <c r="S104" s="1" t="s">
        <v>43</v>
      </c>
      <c r="T104" s="1" t="s">
        <v>43</v>
      </c>
      <c r="U104" s="1" t="s">
        <v>137</v>
      </c>
      <c r="V104" s="1" t="s">
        <v>138</v>
      </c>
      <c r="W104" s="1" t="s">
        <v>139</v>
      </c>
      <c r="X104" s="1" t="s">
        <v>117</v>
      </c>
      <c r="Y104" s="1"/>
      <c r="Z104" s="1" t="s">
        <v>182</v>
      </c>
      <c r="AA104" t="b">
        <v>0</v>
      </c>
      <c r="AB104" t="b">
        <v>1</v>
      </c>
      <c r="AC104" t="b">
        <v>1</v>
      </c>
      <c r="AD104" t="b">
        <v>0</v>
      </c>
      <c r="AE104" t="b">
        <v>1</v>
      </c>
      <c r="AF104" t="b">
        <v>0</v>
      </c>
      <c r="AG104" t="b">
        <v>0</v>
      </c>
      <c r="AH104" s="1" t="s">
        <v>93</v>
      </c>
    </row>
    <row r="105" spans="1:34" x14ac:dyDescent="0.25">
      <c r="A105" s="1" t="s">
        <v>504</v>
      </c>
      <c r="B105" s="1" t="s">
        <v>505</v>
      </c>
      <c r="C105">
        <v>1</v>
      </c>
      <c r="D105" s="1" t="s">
        <v>104</v>
      </c>
      <c r="E105" s="1" t="s">
        <v>36</v>
      </c>
      <c r="F105" s="1" t="s">
        <v>395</v>
      </c>
      <c r="G105" s="1" t="s">
        <v>120</v>
      </c>
      <c r="H105" s="2">
        <v>45992</v>
      </c>
      <c r="I105" s="1" t="s">
        <v>506</v>
      </c>
      <c r="J105" s="1" t="s">
        <v>397</v>
      </c>
      <c r="K105" s="1" t="s">
        <v>405</v>
      </c>
      <c r="L105" s="1">
        <v>2025</v>
      </c>
      <c r="M105" s="1" t="s">
        <v>36</v>
      </c>
      <c r="N105" s="1" t="s">
        <v>460</v>
      </c>
      <c r="O105" s="2">
        <v>45962</v>
      </c>
      <c r="P105">
        <v>2025</v>
      </c>
      <c r="Q105">
        <v>11</v>
      </c>
      <c r="R105" s="1" t="s">
        <v>507</v>
      </c>
      <c r="S105" s="1" t="s">
        <v>43</v>
      </c>
      <c r="T105" s="1" t="s">
        <v>43</v>
      </c>
      <c r="U105" s="1" t="s">
        <v>508</v>
      </c>
      <c r="V105" s="1" t="s">
        <v>63</v>
      </c>
      <c r="W105" s="1" t="s">
        <v>274</v>
      </c>
      <c r="X105" s="1" t="s">
        <v>74</v>
      </c>
      <c r="Y105" s="1"/>
      <c r="Z105" s="1" t="s">
        <v>65</v>
      </c>
      <c r="AA105" t="b">
        <v>0</v>
      </c>
      <c r="AB105" t="b">
        <v>0</v>
      </c>
      <c r="AC105" t="b">
        <v>0</v>
      </c>
      <c r="AD105" t="b">
        <v>0</v>
      </c>
      <c r="AE105" t="b">
        <v>1</v>
      </c>
      <c r="AF105" t="b">
        <v>0</v>
      </c>
      <c r="AG105" t="b">
        <v>0</v>
      </c>
      <c r="AH105" s="1" t="s">
        <v>93</v>
      </c>
    </row>
    <row r="106" spans="1:34" x14ac:dyDescent="0.25">
      <c r="A106" s="1" t="s">
        <v>450</v>
      </c>
      <c r="B106" s="1" t="s">
        <v>451</v>
      </c>
      <c r="C106">
        <v>2</v>
      </c>
      <c r="D106" s="1" t="s">
        <v>104</v>
      </c>
      <c r="E106" s="1" t="s">
        <v>36</v>
      </c>
      <c r="F106" s="1" t="s">
        <v>395</v>
      </c>
      <c r="G106" s="1" t="s">
        <v>38</v>
      </c>
      <c r="H106" s="2">
        <v>45870</v>
      </c>
      <c r="I106" s="1" t="s">
        <v>452</v>
      </c>
      <c r="J106" s="1" t="s">
        <v>397</v>
      </c>
      <c r="K106" s="1" t="s">
        <v>398</v>
      </c>
      <c r="L106" s="1">
        <v>2025</v>
      </c>
      <c r="M106" s="1" t="s">
        <v>36</v>
      </c>
      <c r="N106" s="1" t="s">
        <v>439</v>
      </c>
      <c r="O106" s="2">
        <v>45809</v>
      </c>
      <c r="P106">
        <v>2025</v>
      </c>
      <c r="Q106">
        <v>6</v>
      </c>
      <c r="R106" s="1" t="s">
        <v>453</v>
      </c>
      <c r="S106" s="1" t="s">
        <v>43</v>
      </c>
      <c r="T106" s="1" t="s">
        <v>43</v>
      </c>
      <c r="U106" s="1" t="s">
        <v>454</v>
      </c>
      <c r="V106" s="1" t="s">
        <v>455</v>
      </c>
      <c r="W106" s="1" t="s">
        <v>64</v>
      </c>
      <c r="X106" s="1" t="s">
        <v>48</v>
      </c>
      <c r="Y106" s="1"/>
      <c r="Z106" s="1" t="s">
        <v>65</v>
      </c>
      <c r="AA106" t="b">
        <v>0</v>
      </c>
      <c r="AB106" t="b">
        <v>0</v>
      </c>
      <c r="AC106" t="b">
        <v>0</v>
      </c>
      <c r="AD106" t="b">
        <v>0</v>
      </c>
      <c r="AE106" t="b">
        <v>1</v>
      </c>
      <c r="AF106" t="b">
        <v>0</v>
      </c>
      <c r="AG106" t="b">
        <v>0</v>
      </c>
      <c r="AH106" s="1" t="s">
        <v>456</v>
      </c>
    </row>
    <row r="107" spans="1:34" x14ac:dyDescent="0.25">
      <c r="A107" s="1" t="s">
        <v>477</v>
      </c>
      <c r="B107" s="1" t="s">
        <v>478</v>
      </c>
      <c r="C107">
        <v>2</v>
      </c>
      <c r="D107" s="1" t="s">
        <v>104</v>
      </c>
      <c r="E107" s="1" t="s">
        <v>36</v>
      </c>
      <c r="F107" s="1" t="s">
        <v>395</v>
      </c>
      <c r="G107" s="1" t="s">
        <v>38</v>
      </c>
      <c r="H107" s="2">
        <v>45992</v>
      </c>
      <c r="I107" s="1" t="s">
        <v>479</v>
      </c>
      <c r="J107" s="1" t="s">
        <v>397</v>
      </c>
      <c r="K107" s="1" t="s">
        <v>398</v>
      </c>
      <c r="L107" s="1">
        <v>2025</v>
      </c>
      <c r="M107" s="1" t="s">
        <v>36</v>
      </c>
      <c r="N107" s="1" t="s">
        <v>107</v>
      </c>
      <c r="O107" s="2">
        <v>45931</v>
      </c>
      <c r="P107">
        <v>2025</v>
      </c>
      <c r="Q107">
        <v>10</v>
      </c>
      <c r="R107" s="1" t="s">
        <v>480</v>
      </c>
      <c r="S107" s="1" t="s">
        <v>43</v>
      </c>
      <c r="T107" s="1" t="s">
        <v>43</v>
      </c>
      <c r="U107" s="1" t="s">
        <v>481</v>
      </c>
      <c r="V107" s="1" t="s">
        <v>482</v>
      </c>
      <c r="W107" s="1" t="s">
        <v>274</v>
      </c>
      <c r="X107" s="1" t="s">
        <v>795</v>
      </c>
      <c r="Y107" s="1"/>
      <c r="Z107" s="1" t="s">
        <v>204</v>
      </c>
      <c r="AA107" t="b">
        <v>0</v>
      </c>
      <c r="AB107" t="b">
        <v>1</v>
      </c>
      <c r="AC107" t="b">
        <v>1</v>
      </c>
      <c r="AD107" t="b">
        <v>0</v>
      </c>
      <c r="AE107" t="b">
        <v>1</v>
      </c>
      <c r="AF107" t="b">
        <v>0</v>
      </c>
      <c r="AG107" t="b">
        <v>0</v>
      </c>
      <c r="AH107" s="1" t="s">
        <v>483</v>
      </c>
    </row>
    <row r="108" spans="1:34" x14ac:dyDescent="0.25">
      <c r="A108" s="1" t="s">
        <v>471</v>
      </c>
      <c r="B108" s="1" t="s">
        <v>472</v>
      </c>
      <c r="C108">
        <v>2</v>
      </c>
      <c r="D108" s="1" t="s">
        <v>104</v>
      </c>
      <c r="E108" s="1" t="s">
        <v>36</v>
      </c>
      <c r="F108" s="1" t="s">
        <v>395</v>
      </c>
      <c r="G108" s="1" t="s">
        <v>38</v>
      </c>
      <c r="H108" s="2">
        <v>45962</v>
      </c>
      <c r="I108" s="1" t="s">
        <v>473</v>
      </c>
      <c r="J108" s="1" t="s">
        <v>397</v>
      </c>
      <c r="K108" s="1" t="s">
        <v>412</v>
      </c>
      <c r="L108" s="1">
        <v>2025</v>
      </c>
      <c r="M108" s="1" t="s">
        <v>36</v>
      </c>
      <c r="N108" s="1" t="s">
        <v>107</v>
      </c>
      <c r="O108" s="2">
        <v>45901</v>
      </c>
      <c r="P108">
        <v>2025</v>
      </c>
      <c r="Q108">
        <v>9</v>
      </c>
      <c r="R108" s="1" t="s">
        <v>474</v>
      </c>
      <c r="S108" s="1" t="s">
        <v>43</v>
      </c>
      <c r="T108" s="1" t="s">
        <v>43</v>
      </c>
      <c r="U108" s="1" t="s">
        <v>475</v>
      </c>
      <c r="V108" s="1" t="s">
        <v>81</v>
      </c>
      <c r="W108" s="1" t="s">
        <v>64</v>
      </c>
      <c r="X108" s="1" t="s">
        <v>147</v>
      </c>
      <c r="Y108" s="1"/>
      <c r="Z108" s="1" t="s">
        <v>92</v>
      </c>
      <c r="AA108" t="b">
        <v>0</v>
      </c>
      <c r="AB108" t="b">
        <v>1</v>
      </c>
      <c r="AC108" t="b">
        <v>1</v>
      </c>
      <c r="AD108" t="b">
        <v>0</v>
      </c>
      <c r="AE108" t="b">
        <v>1</v>
      </c>
      <c r="AF108" t="b">
        <v>0</v>
      </c>
      <c r="AG108" t="b">
        <v>0</v>
      </c>
      <c r="AH108" s="1" t="s">
        <v>476</v>
      </c>
    </row>
    <row r="109" spans="1:34" x14ac:dyDescent="0.25">
      <c r="A109" s="1" t="s">
        <v>499</v>
      </c>
      <c r="B109" s="1" t="s">
        <v>500</v>
      </c>
      <c r="C109">
        <v>1</v>
      </c>
      <c r="D109" s="1" t="s">
        <v>104</v>
      </c>
      <c r="E109" s="1" t="s">
        <v>36</v>
      </c>
      <c r="F109" s="1" t="s">
        <v>395</v>
      </c>
      <c r="G109" s="1" t="s">
        <v>120</v>
      </c>
      <c r="H109" s="2">
        <v>45992</v>
      </c>
      <c r="I109" s="1" t="s">
        <v>501</v>
      </c>
      <c r="J109" s="1" t="s">
        <v>397</v>
      </c>
      <c r="K109" s="1" t="s">
        <v>412</v>
      </c>
      <c r="L109" s="1">
        <v>2025</v>
      </c>
      <c r="M109" s="1" t="s">
        <v>36</v>
      </c>
      <c r="N109" s="1" t="s">
        <v>460</v>
      </c>
      <c r="O109" s="2">
        <v>45931</v>
      </c>
      <c r="P109">
        <v>2025</v>
      </c>
      <c r="Q109">
        <v>10</v>
      </c>
      <c r="R109" s="1" t="s">
        <v>502</v>
      </c>
      <c r="S109" s="1" t="s">
        <v>43</v>
      </c>
      <c r="T109" s="1" t="s">
        <v>43</v>
      </c>
      <c r="U109" s="1" t="s">
        <v>503</v>
      </c>
      <c r="V109" s="1" t="s">
        <v>160</v>
      </c>
      <c r="W109" s="1" t="s">
        <v>64</v>
      </c>
      <c r="X109" s="1" t="s">
        <v>48</v>
      </c>
      <c r="Y109" s="1"/>
      <c r="Z109" s="1" t="s">
        <v>65</v>
      </c>
      <c r="AA109" t="b">
        <v>0</v>
      </c>
      <c r="AB109" t="b">
        <v>0</v>
      </c>
      <c r="AC109" t="b">
        <v>0</v>
      </c>
      <c r="AD109" t="b">
        <v>0</v>
      </c>
      <c r="AE109" t="b">
        <v>1</v>
      </c>
      <c r="AF109" t="b">
        <v>0</v>
      </c>
      <c r="AG109" t="b">
        <v>0</v>
      </c>
      <c r="AH109" s="1" t="s">
        <v>93</v>
      </c>
    </row>
    <row r="110" spans="1:34" x14ac:dyDescent="0.25">
      <c r="A110" s="1" t="s">
        <v>749</v>
      </c>
      <c r="B110" s="1" t="s">
        <v>750</v>
      </c>
      <c r="C110">
        <v>4</v>
      </c>
      <c r="D110" s="1" t="s">
        <v>104</v>
      </c>
      <c r="E110" s="1" t="s">
        <v>36</v>
      </c>
      <c r="F110" s="1" t="s">
        <v>751</v>
      </c>
      <c r="G110" s="1" t="s">
        <v>38</v>
      </c>
      <c r="H110" s="2">
        <v>45809</v>
      </c>
      <c r="I110" s="1" t="s">
        <v>752</v>
      </c>
      <c r="J110" s="1" t="s">
        <v>769</v>
      </c>
      <c r="K110" s="1" t="s">
        <v>753</v>
      </c>
      <c r="L110" s="1">
        <v>2025</v>
      </c>
      <c r="M110" s="1" t="s">
        <v>36</v>
      </c>
      <c r="N110" s="1" t="s">
        <v>439</v>
      </c>
      <c r="O110" s="2">
        <v>45717</v>
      </c>
      <c r="P110">
        <v>2025</v>
      </c>
      <c r="Q110">
        <v>3</v>
      </c>
      <c r="R110" s="1" t="s">
        <v>754</v>
      </c>
      <c r="S110" s="1" t="s">
        <v>43</v>
      </c>
      <c r="T110" s="1" t="s">
        <v>43</v>
      </c>
      <c r="U110" s="1" t="s">
        <v>755</v>
      </c>
      <c r="V110" s="1" t="s">
        <v>756</v>
      </c>
      <c r="W110" s="1" t="s">
        <v>64</v>
      </c>
      <c r="X110" s="1" t="s">
        <v>48</v>
      </c>
      <c r="Y110" s="1"/>
      <c r="Z110" s="1" t="s">
        <v>49</v>
      </c>
      <c r="AA110" t="b">
        <v>0</v>
      </c>
      <c r="AC110" t="b">
        <v>0</v>
      </c>
      <c r="AD110" t="b">
        <v>0</v>
      </c>
      <c r="AE110" t="b">
        <v>1</v>
      </c>
      <c r="AF110" t="b">
        <v>0</v>
      </c>
      <c r="AG110" t="b">
        <v>0</v>
      </c>
      <c r="AH110" s="1" t="s">
        <v>757</v>
      </c>
    </row>
    <row r="111" spans="1:34" x14ac:dyDescent="0.25">
      <c r="A111" s="1" t="s">
        <v>774</v>
      </c>
      <c r="B111" s="1" t="s">
        <v>775</v>
      </c>
      <c r="C111">
        <v>1</v>
      </c>
      <c r="D111" s="1" t="s">
        <v>35</v>
      </c>
      <c r="E111" s="1" t="s">
        <v>36</v>
      </c>
      <c r="F111" s="1" t="s">
        <v>751</v>
      </c>
      <c r="G111" s="1" t="s">
        <v>120</v>
      </c>
      <c r="H111" s="2">
        <v>45809</v>
      </c>
      <c r="I111" s="1" t="s">
        <v>776</v>
      </c>
      <c r="J111" s="1" t="s">
        <v>769</v>
      </c>
      <c r="K111" s="1" t="s">
        <v>753</v>
      </c>
      <c r="L111" s="1">
        <v>2025</v>
      </c>
      <c r="M111" s="1" t="s">
        <v>36</v>
      </c>
      <c r="N111" s="1" t="s">
        <v>43</v>
      </c>
      <c r="O111" s="2">
        <v>45778</v>
      </c>
      <c r="P111">
        <v>2025</v>
      </c>
      <c r="Q111">
        <v>5</v>
      </c>
      <c r="R111" s="1" t="s">
        <v>777</v>
      </c>
      <c r="S111" s="1" t="s">
        <v>43</v>
      </c>
      <c r="T111" s="1" t="s">
        <v>43</v>
      </c>
      <c r="U111" s="1" t="s">
        <v>778</v>
      </c>
      <c r="V111" s="1" t="s">
        <v>686</v>
      </c>
      <c r="W111" s="1" t="s">
        <v>64</v>
      </c>
      <c r="X111" s="1" t="s">
        <v>48</v>
      </c>
      <c r="Y111" s="1"/>
      <c r="Z111" s="1" t="s">
        <v>65</v>
      </c>
      <c r="AA111" t="b">
        <v>0</v>
      </c>
      <c r="AB111" t="b">
        <v>0</v>
      </c>
      <c r="AC111" t="b">
        <v>0</v>
      </c>
      <c r="AD111" t="b">
        <v>0</v>
      </c>
      <c r="AE111" t="b">
        <v>0</v>
      </c>
      <c r="AF111" t="b">
        <v>0</v>
      </c>
      <c r="AG111" t="b">
        <v>0</v>
      </c>
      <c r="AH111" s="1" t="s">
        <v>779</v>
      </c>
    </row>
    <row r="112" spans="1:34" x14ac:dyDescent="0.25">
      <c r="A112" s="1" t="s">
        <v>118</v>
      </c>
      <c r="B112" s="1" t="s">
        <v>119</v>
      </c>
      <c r="C112">
        <v>1</v>
      </c>
      <c r="D112" s="1" t="s">
        <v>104</v>
      </c>
      <c r="E112" s="1" t="s">
        <v>36</v>
      </c>
      <c r="F112" s="1" t="s">
        <v>85</v>
      </c>
      <c r="G112" s="1" t="s">
        <v>120</v>
      </c>
      <c r="H112" s="2">
        <v>45962</v>
      </c>
      <c r="I112" s="1" t="s">
        <v>121</v>
      </c>
      <c r="J112" s="1" t="s">
        <v>87</v>
      </c>
      <c r="K112" s="1" t="s">
        <v>122</v>
      </c>
      <c r="L112" s="1">
        <v>2026</v>
      </c>
      <c r="M112" s="1" t="s">
        <v>36</v>
      </c>
      <c r="N112" s="1" t="s">
        <v>107</v>
      </c>
      <c r="O112" s="2">
        <v>45931</v>
      </c>
      <c r="P112">
        <v>2025</v>
      </c>
      <c r="Q112">
        <v>10</v>
      </c>
      <c r="R112" s="1" t="s">
        <v>123</v>
      </c>
      <c r="S112" s="1" t="s">
        <v>43</v>
      </c>
      <c r="T112" s="1" t="s">
        <v>43</v>
      </c>
      <c r="U112" s="1" t="s">
        <v>124</v>
      </c>
      <c r="V112" s="1" t="s">
        <v>91</v>
      </c>
      <c r="W112" s="1" t="s">
        <v>64</v>
      </c>
      <c r="X112" s="1" t="s">
        <v>48</v>
      </c>
      <c r="Y112" s="1"/>
      <c r="Z112" s="1" t="s">
        <v>92</v>
      </c>
      <c r="AA112" t="b">
        <v>0</v>
      </c>
      <c r="AB112" t="b">
        <v>1</v>
      </c>
      <c r="AC112" t="b">
        <v>1</v>
      </c>
      <c r="AD112" t="b">
        <v>0</v>
      </c>
      <c r="AE112" t="b">
        <v>1</v>
      </c>
      <c r="AF112" t="b">
        <v>0</v>
      </c>
      <c r="AG112" t="b">
        <v>1</v>
      </c>
      <c r="AH112" s="1" t="s">
        <v>93</v>
      </c>
    </row>
    <row r="113" spans="1:34" x14ac:dyDescent="0.25">
      <c r="A113" s="1" t="s">
        <v>148</v>
      </c>
      <c r="B113" s="1" t="s">
        <v>149</v>
      </c>
      <c r="C113">
        <v>1</v>
      </c>
      <c r="D113" s="1" t="s">
        <v>104</v>
      </c>
      <c r="E113" s="1" t="s">
        <v>36</v>
      </c>
      <c r="F113" s="1" t="s">
        <v>85</v>
      </c>
      <c r="G113" s="1" t="s">
        <v>120</v>
      </c>
      <c r="H113" s="2">
        <v>46143</v>
      </c>
      <c r="I113" s="1" t="s">
        <v>150</v>
      </c>
      <c r="J113" s="1" t="s">
        <v>87</v>
      </c>
      <c r="K113" s="1" t="s">
        <v>151</v>
      </c>
      <c r="L113" s="1">
        <v>2026</v>
      </c>
      <c r="M113" s="1" t="s">
        <v>36</v>
      </c>
      <c r="N113" s="1" t="s">
        <v>107</v>
      </c>
      <c r="O113" s="2">
        <v>46113</v>
      </c>
      <c r="P113">
        <v>2026</v>
      </c>
      <c r="Q113">
        <v>4</v>
      </c>
      <c r="R113" s="1" t="s">
        <v>152</v>
      </c>
      <c r="S113" s="1" t="s">
        <v>43</v>
      </c>
      <c r="T113" s="1" t="s">
        <v>43</v>
      </c>
      <c r="U113" s="1" t="s">
        <v>153</v>
      </c>
      <c r="V113" s="1" t="s">
        <v>91</v>
      </c>
      <c r="W113" s="1" t="s">
        <v>64</v>
      </c>
      <c r="X113" s="1" t="s">
        <v>74</v>
      </c>
      <c r="Y113" s="1"/>
      <c r="Z113" s="1" t="s">
        <v>182</v>
      </c>
      <c r="AA113" t="b">
        <v>0</v>
      </c>
      <c r="AB113" t="b">
        <v>1</v>
      </c>
      <c r="AC113" t="b">
        <v>1</v>
      </c>
      <c r="AD113" t="b">
        <v>0</v>
      </c>
      <c r="AE113" t="b">
        <v>1</v>
      </c>
      <c r="AF113" t="b">
        <v>0</v>
      </c>
      <c r="AG113" t="b">
        <v>0</v>
      </c>
      <c r="AH113" s="1" t="s">
        <v>93</v>
      </c>
    </row>
    <row r="114" spans="1:34" x14ac:dyDescent="0.25">
      <c r="A114" s="1" t="s">
        <v>83</v>
      </c>
      <c r="B114" s="1" t="s">
        <v>84</v>
      </c>
      <c r="C114">
        <v>3</v>
      </c>
      <c r="D114" s="1" t="s">
        <v>35</v>
      </c>
      <c r="E114" s="1" t="s">
        <v>36</v>
      </c>
      <c r="F114" s="1" t="s">
        <v>85</v>
      </c>
      <c r="G114" s="1" t="s">
        <v>38</v>
      </c>
      <c r="H114" s="2">
        <v>45748</v>
      </c>
      <c r="I114" s="1" t="s">
        <v>86</v>
      </c>
      <c r="J114" s="1" t="s">
        <v>87</v>
      </c>
      <c r="K114" s="1" t="s">
        <v>88</v>
      </c>
      <c r="L114" s="1"/>
      <c r="M114" s="1" t="s">
        <v>36</v>
      </c>
      <c r="N114" s="1" t="s">
        <v>43</v>
      </c>
      <c r="O114" s="2">
        <v>45717</v>
      </c>
      <c r="P114">
        <v>2025</v>
      </c>
      <c r="Q114">
        <v>3</v>
      </c>
      <c r="R114" s="1" t="s">
        <v>89</v>
      </c>
      <c r="S114" s="1" t="s">
        <v>43</v>
      </c>
      <c r="T114" s="1" t="s">
        <v>43</v>
      </c>
      <c r="U114" s="1" t="s">
        <v>90</v>
      </c>
      <c r="V114" s="1" t="s">
        <v>91</v>
      </c>
      <c r="W114" s="1" t="s">
        <v>64</v>
      </c>
      <c r="X114" s="1" t="s">
        <v>48</v>
      </c>
      <c r="Y114" s="1"/>
      <c r="Z114" s="1" t="s">
        <v>92</v>
      </c>
      <c r="AA114" t="b">
        <v>0</v>
      </c>
      <c r="AB114" t="b">
        <v>0</v>
      </c>
      <c r="AC114" t="b">
        <v>0</v>
      </c>
      <c r="AD114" t="b">
        <v>0</v>
      </c>
      <c r="AE114" t="b">
        <v>0</v>
      </c>
      <c r="AF114" t="b">
        <v>0</v>
      </c>
      <c r="AG114" t="b">
        <v>0</v>
      </c>
      <c r="AH114" s="1" t="s">
        <v>93</v>
      </c>
    </row>
    <row r="115" spans="1:34" x14ac:dyDescent="0.25">
      <c r="A115" s="1" t="s">
        <v>301</v>
      </c>
      <c r="B115" s="1" t="s">
        <v>302</v>
      </c>
      <c r="C115">
        <v>2</v>
      </c>
      <c r="D115" s="1" t="s">
        <v>35</v>
      </c>
      <c r="E115" s="1" t="s">
        <v>36</v>
      </c>
      <c r="F115" s="1" t="s">
        <v>284</v>
      </c>
      <c r="G115" s="1" t="s">
        <v>177</v>
      </c>
      <c r="H115" s="2">
        <v>45413</v>
      </c>
      <c r="I115" s="1" t="s">
        <v>43</v>
      </c>
      <c r="J115" s="1" t="s">
        <v>295</v>
      </c>
      <c r="K115" s="1" t="s">
        <v>303</v>
      </c>
      <c r="L115" s="1"/>
      <c r="M115" s="1" t="s">
        <v>36</v>
      </c>
      <c r="N115" s="1" t="s">
        <v>43</v>
      </c>
      <c r="O115" s="2"/>
      <c r="R115" s="1" t="s">
        <v>43</v>
      </c>
      <c r="S115" s="1" t="s">
        <v>43</v>
      </c>
      <c r="T115" s="1" t="s">
        <v>43</v>
      </c>
      <c r="U115" s="1" t="s">
        <v>43</v>
      </c>
      <c r="V115" s="1" t="s">
        <v>116</v>
      </c>
      <c r="W115" s="1" t="s">
        <v>49</v>
      </c>
      <c r="X115" s="1" t="s">
        <v>49</v>
      </c>
      <c r="Y115" s="1"/>
      <c r="Z115" s="1" t="s">
        <v>304</v>
      </c>
      <c r="AA115" t="b">
        <v>1</v>
      </c>
      <c r="AB115" t="b">
        <v>1</v>
      </c>
      <c r="AC115" t="b">
        <v>0</v>
      </c>
      <c r="AD115" t="b">
        <v>0</v>
      </c>
      <c r="AE115" t="b">
        <v>0</v>
      </c>
      <c r="AF115" t="b">
        <v>0</v>
      </c>
      <c r="AG115" t="b">
        <v>0</v>
      </c>
      <c r="AH115" s="1" t="s">
        <v>305</v>
      </c>
    </row>
    <row r="116" spans="1:34" x14ac:dyDescent="0.25">
      <c r="A116" s="1"/>
      <c r="B116" s="1"/>
      <c r="D116" s="1"/>
      <c r="E116" s="1"/>
      <c r="F116" s="1"/>
      <c r="G116" s="1"/>
      <c r="H116" s="2"/>
      <c r="I116" s="1"/>
      <c r="J116" s="1"/>
      <c r="K116" s="1"/>
      <c r="L116" s="1"/>
      <c r="M116" s="1"/>
      <c r="N116" s="1"/>
      <c r="O116" s="2"/>
      <c r="R116" s="1"/>
      <c r="S116" s="1"/>
      <c r="T116" s="1"/>
      <c r="U116" s="1"/>
      <c r="V116" s="1"/>
      <c r="W116" s="1"/>
      <c r="X116" s="1"/>
      <c r="Y116" s="1"/>
      <c r="Z116" s="1"/>
      <c r="AH116"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C2AB8-1A49-4B23-8B9A-B06C457990F1}">
  <dimension ref="A1:A115"/>
  <sheetViews>
    <sheetView workbookViewId="0">
      <selection sqref="A1:A1048576"/>
    </sheetView>
  </sheetViews>
  <sheetFormatPr defaultRowHeight="15" x14ac:dyDescent="0.25"/>
  <cols>
    <col min="1" max="1" width="20.5703125" customWidth="1"/>
  </cols>
  <sheetData>
    <row r="1" spans="1:1" x14ac:dyDescent="0.25">
      <c r="A1" t="s">
        <v>793</v>
      </c>
    </row>
    <row r="2" spans="1:1" x14ac:dyDescent="0.25">
      <c r="A2" s="1" t="str">
        <f>IF(automated_driving_report_history_cleaned[[#This Row],[make]] = "BMW", UPPER(automated_driving_report_history_cleaned[[#This Row],[make]]), PROPER(automated_driving_report_history_cleaned[[#This Row],[make]]))</f>
        <v>BMW</v>
      </c>
    </row>
    <row r="3" spans="1:1" x14ac:dyDescent="0.25">
      <c r="A3" s="1" t="str">
        <f>IF(automated_driving_report_history_cleaned[[#This Row],[make]] = "BMW", UPPER(automated_driving_report_history_cleaned[[#This Row],[make]]), PROPER(automated_driving_report_history_cleaned[[#This Row],[make]]))</f>
        <v>BMW</v>
      </c>
    </row>
    <row r="4" spans="1:1" x14ac:dyDescent="0.25">
      <c r="A4" s="1" t="str">
        <f>IF(automated_driving_report_history_cleaned[[#This Row],[make]] = "BMW", UPPER(automated_driving_report_history_cleaned[[#This Row],[make]]), PROPER(automated_driving_report_history_cleaned[[#This Row],[make]]))</f>
        <v>Lexus</v>
      </c>
    </row>
    <row r="5" spans="1:1" x14ac:dyDescent="0.25">
      <c r="A5" s="1" t="str">
        <f>IF(automated_driving_report_history_cleaned[[#This Row],[make]] = "BMW", UPPER(automated_driving_report_history_cleaned[[#This Row],[make]]), PROPER(automated_driving_report_history_cleaned[[#This Row],[make]]))</f>
        <v>Subaru</v>
      </c>
    </row>
    <row r="6" spans="1:1" x14ac:dyDescent="0.25">
      <c r="A6" s="1" t="str">
        <f>IF(automated_driving_report_history_cleaned[[#This Row],[make]] = "BMW", UPPER(automated_driving_report_history_cleaned[[#This Row],[make]]), PROPER(automated_driving_report_history_cleaned[[#This Row],[make]]))</f>
        <v>Subaru</v>
      </c>
    </row>
    <row r="7" spans="1:1" x14ac:dyDescent="0.25">
      <c r="A7" s="1" t="str">
        <f>IF(automated_driving_report_history_cleaned[[#This Row],[make]] = "BMW", UPPER(automated_driving_report_history_cleaned[[#This Row],[make]]), PROPER(automated_driving_report_history_cleaned[[#This Row],[make]]))</f>
        <v>Subaru</v>
      </c>
    </row>
    <row r="8" spans="1:1" x14ac:dyDescent="0.25">
      <c r="A8" s="1" t="str">
        <f>IF(automated_driving_report_history_cleaned[[#This Row],[make]] = "BMW", UPPER(automated_driving_report_history_cleaned[[#This Row],[make]]), PROPER(automated_driving_report_history_cleaned[[#This Row],[make]]))</f>
        <v>Subaru</v>
      </c>
    </row>
    <row r="9" spans="1:1" x14ac:dyDescent="0.25">
      <c r="A9" s="1" t="str">
        <f>IF(automated_driving_report_history_cleaned[[#This Row],[make]] = "BMW", UPPER(automated_driving_report_history_cleaned[[#This Row],[make]]), PROPER(automated_driving_report_history_cleaned[[#This Row],[make]]))</f>
        <v>Subaru</v>
      </c>
    </row>
    <row r="10" spans="1:1" x14ac:dyDescent="0.25">
      <c r="A10" s="1" t="str">
        <f>IF(automated_driving_report_history_cleaned[[#This Row],[make]] = "BMW", UPPER(automated_driving_report_history_cleaned[[#This Row],[make]]), PROPER(automated_driving_report_history_cleaned[[#This Row],[make]]))</f>
        <v>Subaru</v>
      </c>
    </row>
    <row r="11" spans="1:1" x14ac:dyDescent="0.25">
      <c r="A11" s="1" t="str">
        <f>IF(automated_driving_report_history_cleaned[[#This Row],[make]] = "BMW", UPPER(automated_driving_report_history_cleaned[[#This Row],[make]]), PROPER(automated_driving_report_history_cleaned[[#This Row],[make]]))</f>
        <v>Subaru</v>
      </c>
    </row>
    <row r="12" spans="1:1" x14ac:dyDescent="0.25">
      <c r="A12" s="1" t="str">
        <f>IF(automated_driving_report_history_cleaned[[#This Row],[make]] = "BMW", UPPER(automated_driving_report_history_cleaned[[#This Row],[make]]), PROPER(automated_driving_report_history_cleaned[[#This Row],[make]]))</f>
        <v>Subaru</v>
      </c>
    </row>
    <row r="13" spans="1:1" x14ac:dyDescent="0.25">
      <c r="A13" s="1" t="str">
        <f>IF(automated_driving_report_history_cleaned[[#This Row],[make]] = "BMW", UPPER(automated_driving_report_history_cleaned[[#This Row],[make]]), PROPER(automated_driving_report_history_cleaned[[#This Row],[make]]))</f>
        <v>Subaru</v>
      </c>
    </row>
    <row r="14" spans="1:1" x14ac:dyDescent="0.25">
      <c r="A14" s="1" t="str">
        <f>IF(automated_driving_report_history_cleaned[[#This Row],[make]] = "BMW", UPPER(automated_driving_report_history_cleaned[[#This Row],[make]]), PROPER(automated_driving_report_history_cleaned[[#This Row],[make]]))</f>
        <v>Subaru</v>
      </c>
    </row>
    <row r="15" spans="1:1" x14ac:dyDescent="0.25">
      <c r="A15" s="1" t="str">
        <f>IF(automated_driving_report_history_cleaned[[#This Row],[make]] = "BMW", UPPER(automated_driving_report_history_cleaned[[#This Row],[make]]), PROPER(automated_driving_report_history_cleaned[[#This Row],[make]]))</f>
        <v>Subaru</v>
      </c>
    </row>
    <row r="16" spans="1:1" x14ac:dyDescent="0.25">
      <c r="A16" s="1" t="str">
        <f>IF(automated_driving_report_history_cleaned[[#This Row],[make]] = "BMW", UPPER(automated_driving_report_history_cleaned[[#This Row],[make]]), PROPER(automated_driving_report_history_cleaned[[#This Row],[make]]))</f>
        <v>Subaru</v>
      </c>
    </row>
    <row r="17" spans="1:1" x14ac:dyDescent="0.25">
      <c r="A17" s="1" t="str">
        <f>IF(automated_driving_report_history_cleaned[[#This Row],[make]] = "BMW", UPPER(automated_driving_report_history_cleaned[[#This Row],[make]]), PROPER(automated_driving_report_history_cleaned[[#This Row],[make]]))</f>
        <v>Subaru</v>
      </c>
    </row>
    <row r="18" spans="1:1" x14ac:dyDescent="0.25">
      <c r="A18" s="1" t="str">
        <f>IF(automated_driving_report_history_cleaned[[#This Row],[make]] = "BMW", UPPER(automated_driving_report_history_cleaned[[#This Row],[make]]), PROPER(automated_driving_report_history_cleaned[[#This Row],[make]]))</f>
        <v>Subaru</v>
      </c>
    </row>
    <row r="19" spans="1:1" x14ac:dyDescent="0.25">
      <c r="A19" s="1" t="str">
        <f>IF(automated_driving_report_history_cleaned[[#This Row],[make]] = "BMW", UPPER(automated_driving_report_history_cleaned[[#This Row],[make]]), PROPER(automated_driving_report_history_cleaned[[#This Row],[make]]))</f>
        <v>Subaru</v>
      </c>
    </row>
    <row r="20" spans="1:1" x14ac:dyDescent="0.25">
      <c r="A20" s="1" t="str">
        <f>IF(automated_driving_report_history_cleaned[[#This Row],[make]] = "BMW", UPPER(automated_driving_report_history_cleaned[[#This Row],[make]]), PROPER(automated_driving_report_history_cleaned[[#This Row],[make]]))</f>
        <v>Subaru</v>
      </c>
    </row>
    <row r="21" spans="1:1" x14ac:dyDescent="0.25">
      <c r="A21" s="1" t="str">
        <f>IF(automated_driving_report_history_cleaned[[#This Row],[make]] = "BMW", UPPER(automated_driving_report_history_cleaned[[#This Row],[make]]), PROPER(automated_driving_report_history_cleaned[[#This Row],[make]]))</f>
        <v>Subaru</v>
      </c>
    </row>
    <row r="22" spans="1:1" x14ac:dyDescent="0.25">
      <c r="A22" s="1" t="str">
        <f>IF(automated_driving_report_history_cleaned[[#This Row],[make]] = "BMW", UPPER(automated_driving_report_history_cleaned[[#This Row],[make]]), PROPER(automated_driving_report_history_cleaned[[#This Row],[make]]))</f>
        <v>Subaru</v>
      </c>
    </row>
    <row r="23" spans="1:1" x14ac:dyDescent="0.25">
      <c r="A23" s="1" t="str">
        <f>IF(automated_driving_report_history_cleaned[[#This Row],[make]] = "BMW", UPPER(automated_driving_report_history_cleaned[[#This Row],[make]]), PROPER(automated_driving_report_history_cleaned[[#This Row],[make]]))</f>
        <v>Subaru</v>
      </c>
    </row>
    <row r="24" spans="1:1" x14ac:dyDescent="0.25">
      <c r="A24" s="1" t="str">
        <f>IF(automated_driving_report_history_cleaned[[#This Row],[make]] = "BMW", UPPER(automated_driving_report_history_cleaned[[#This Row],[make]]), PROPER(automated_driving_report_history_cleaned[[#This Row],[make]]))</f>
        <v>Subaru</v>
      </c>
    </row>
    <row r="25" spans="1:1" x14ac:dyDescent="0.25">
      <c r="A25" s="1" t="str">
        <f>IF(automated_driving_report_history_cleaned[[#This Row],[make]] = "BMW", UPPER(automated_driving_report_history_cleaned[[#This Row],[make]]), PROPER(automated_driving_report_history_cleaned[[#This Row],[make]]))</f>
        <v>Toyota</v>
      </c>
    </row>
    <row r="26" spans="1:1" x14ac:dyDescent="0.25">
      <c r="A26" s="1" t="str">
        <f>IF(automated_driving_report_history_cleaned[[#This Row],[make]] = "BMW", UPPER(automated_driving_report_history_cleaned[[#This Row],[make]]), PROPER(automated_driving_report_history_cleaned[[#This Row],[make]]))</f>
        <v>BMW</v>
      </c>
    </row>
    <row r="27" spans="1:1" x14ac:dyDescent="0.25">
      <c r="A27" s="1" t="str">
        <f>IF(automated_driving_report_history_cleaned[[#This Row],[make]] = "BMW", UPPER(automated_driving_report_history_cleaned[[#This Row],[make]]), PROPER(automated_driving_report_history_cleaned[[#This Row],[make]]))</f>
        <v>BMW</v>
      </c>
    </row>
    <row r="28" spans="1:1" x14ac:dyDescent="0.25">
      <c r="A28" s="1" t="str">
        <f>IF(automated_driving_report_history_cleaned[[#This Row],[make]] = "BMW", UPPER(automated_driving_report_history_cleaned[[#This Row],[make]]), PROPER(automated_driving_report_history_cleaned[[#This Row],[make]]))</f>
        <v>BMW</v>
      </c>
    </row>
    <row r="29" spans="1:1" x14ac:dyDescent="0.25">
      <c r="A29" s="1" t="str">
        <f>IF(automated_driving_report_history_cleaned[[#This Row],[make]] = "BMW", UPPER(automated_driving_report_history_cleaned[[#This Row],[make]]), PROPER(automated_driving_report_history_cleaned[[#This Row],[make]]))</f>
        <v>BMW</v>
      </c>
    </row>
    <row r="30" spans="1:1" x14ac:dyDescent="0.25">
      <c r="A30" s="1" t="str">
        <f>IF(automated_driving_report_history_cleaned[[#This Row],[make]] = "BMW", UPPER(automated_driving_report_history_cleaned[[#This Row],[make]]), PROPER(automated_driving_report_history_cleaned[[#This Row],[make]]))</f>
        <v>BMW</v>
      </c>
    </row>
    <row r="31" spans="1:1" x14ac:dyDescent="0.25">
      <c r="A31" s="1" t="str">
        <f>IF(automated_driving_report_history_cleaned[[#This Row],[make]] = "BMW", UPPER(automated_driving_report_history_cleaned[[#This Row],[make]]), PROPER(automated_driving_report_history_cleaned[[#This Row],[make]]))</f>
        <v>Freightliner</v>
      </c>
    </row>
    <row r="32" spans="1:1" x14ac:dyDescent="0.25">
      <c r="A32" s="1" t="str">
        <f>IF(automated_driving_report_history_cleaned[[#This Row],[make]] = "BMW", UPPER(automated_driving_report_history_cleaned[[#This Row],[make]]), PROPER(automated_driving_report_history_cleaned[[#This Row],[make]]))</f>
        <v>Freightliner</v>
      </c>
    </row>
    <row r="33" spans="1:1" x14ac:dyDescent="0.25">
      <c r="A33" s="1" t="str">
        <f>IF(automated_driving_report_history_cleaned[[#This Row],[make]] = "BMW", UPPER(automated_driving_report_history_cleaned[[#This Row],[make]]), PROPER(automated_driving_report_history_cleaned[[#This Row],[make]]))</f>
        <v>International</v>
      </c>
    </row>
    <row r="34" spans="1:1" x14ac:dyDescent="0.25">
      <c r="A34" s="1" t="str">
        <f>IF(automated_driving_report_history_cleaned[[#This Row],[make]] = "BMW", UPPER(automated_driving_report_history_cleaned[[#This Row],[make]]), PROPER(automated_driving_report_history_cleaned[[#This Row],[make]]))</f>
        <v>Jeep</v>
      </c>
    </row>
    <row r="35" spans="1:1" x14ac:dyDescent="0.25">
      <c r="A35" s="1" t="str">
        <f>IF(automated_driving_report_history_cleaned[[#This Row],[make]] = "BMW", UPPER(automated_driving_report_history_cleaned[[#This Row],[make]]), PROPER(automated_driving_report_history_cleaned[[#This Row],[make]]))</f>
        <v>Porsche</v>
      </c>
    </row>
    <row r="36" spans="1:1" x14ac:dyDescent="0.25">
      <c r="A36" s="1" t="str">
        <f>IF(automated_driving_report_history_cleaned[[#This Row],[make]] = "BMW", UPPER(automated_driving_report_history_cleaned[[#This Row],[make]]), PROPER(automated_driving_report_history_cleaned[[#This Row],[make]]))</f>
        <v>Subaru</v>
      </c>
    </row>
    <row r="37" spans="1:1" x14ac:dyDescent="0.25">
      <c r="A37" s="1" t="str">
        <f>IF(automated_driving_report_history_cleaned[[#This Row],[make]] = "BMW", UPPER(automated_driving_report_history_cleaned[[#This Row],[make]]), PROPER(automated_driving_report_history_cleaned[[#This Row],[make]]))</f>
        <v>Subaru</v>
      </c>
    </row>
    <row r="38" spans="1:1" x14ac:dyDescent="0.25">
      <c r="A38" s="1" t="str">
        <f>IF(automated_driving_report_history_cleaned[[#This Row],[make]] = "BMW", UPPER(automated_driving_report_history_cleaned[[#This Row],[make]]), PROPER(automated_driving_report_history_cleaned[[#This Row],[make]]))</f>
        <v>Subaru</v>
      </c>
    </row>
    <row r="39" spans="1:1" x14ac:dyDescent="0.25">
      <c r="A39" s="1" t="str">
        <f>IF(automated_driving_report_history_cleaned[[#This Row],[make]] = "BMW", UPPER(automated_driving_report_history_cleaned[[#This Row],[make]]), PROPER(automated_driving_report_history_cleaned[[#This Row],[make]]))</f>
        <v>Subaru</v>
      </c>
    </row>
    <row r="40" spans="1:1" x14ac:dyDescent="0.25">
      <c r="A40" s="1" t="str">
        <f>IF(automated_driving_report_history_cleaned[[#This Row],[make]] = "BMW", UPPER(automated_driving_report_history_cleaned[[#This Row],[make]]), PROPER(automated_driving_report_history_cleaned[[#This Row],[make]]))</f>
        <v>Subaru</v>
      </c>
    </row>
    <row r="41" spans="1:1" x14ac:dyDescent="0.25">
      <c r="A41" s="1" t="str">
        <f>IF(automated_driving_report_history_cleaned[[#This Row],[make]] = "BMW", UPPER(automated_driving_report_history_cleaned[[#This Row],[make]]), PROPER(automated_driving_report_history_cleaned[[#This Row],[make]]))</f>
        <v>Subaru</v>
      </c>
    </row>
    <row r="42" spans="1:1" x14ac:dyDescent="0.25">
      <c r="A42" s="1" t="str">
        <f>IF(automated_driving_report_history_cleaned[[#This Row],[make]] = "BMW", UPPER(automated_driving_report_history_cleaned[[#This Row],[make]]), PROPER(automated_driving_report_history_cleaned[[#This Row],[make]]))</f>
        <v>Subaru</v>
      </c>
    </row>
    <row r="43" spans="1:1" x14ac:dyDescent="0.25">
      <c r="A43" s="1" t="str">
        <f>IF(automated_driving_report_history_cleaned[[#This Row],[make]] = "BMW", UPPER(automated_driving_report_history_cleaned[[#This Row],[make]]), PROPER(automated_driving_report_history_cleaned[[#This Row],[make]]))</f>
        <v>Subaru</v>
      </c>
    </row>
    <row r="44" spans="1:1" x14ac:dyDescent="0.25">
      <c r="A44" s="1" t="str">
        <f>IF(automated_driving_report_history_cleaned[[#This Row],[make]] = "BMW", UPPER(automated_driving_report_history_cleaned[[#This Row],[make]]), PROPER(automated_driving_report_history_cleaned[[#This Row],[make]]))</f>
        <v>Subaru</v>
      </c>
    </row>
    <row r="45" spans="1:1" x14ac:dyDescent="0.25">
      <c r="A45" s="1" t="str">
        <f>IF(automated_driving_report_history_cleaned[[#This Row],[make]] = "BMW", UPPER(automated_driving_report_history_cleaned[[#This Row],[make]]), PROPER(automated_driving_report_history_cleaned[[#This Row],[make]]))</f>
        <v>Subaru</v>
      </c>
    </row>
    <row r="46" spans="1:1" x14ac:dyDescent="0.25">
      <c r="A46" s="1" t="str">
        <f>IF(automated_driving_report_history_cleaned[[#This Row],[make]] = "BMW", UPPER(automated_driving_report_history_cleaned[[#This Row],[make]]), PROPER(automated_driving_report_history_cleaned[[#This Row],[make]]))</f>
        <v>Subaru</v>
      </c>
    </row>
    <row r="47" spans="1:1" x14ac:dyDescent="0.25">
      <c r="A47" s="1" t="str">
        <f>IF(automated_driving_report_history_cleaned[[#This Row],[make]] = "BMW", UPPER(automated_driving_report_history_cleaned[[#This Row],[make]]), PROPER(automated_driving_report_history_cleaned[[#This Row],[make]]))</f>
        <v>Subaru</v>
      </c>
    </row>
    <row r="48" spans="1:1" x14ac:dyDescent="0.25">
      <c r="A48" s="1" t="str">
        <f>IF(automated_driving_report_history_cleaned[[#This Row],[make]] = "BMW", UPPER(automated_driving_report_history_cleaned[[#This Row],[make]]), PROPER(automated_driving_report_history_cleaned[[#This Row],[make]]))</f>
        <v>BMW</v>
      </c>
    </row>
    <row r="49" spans="1:1" x14ac:dyDescent="0.25">
      <c r="A49" s="1" t="str">
        <f>IF(automated_driving_report_history_cleaned[[#This Row],[make]] = "BMW", UPPER(automated_driving_report_history_cleaned[[#This Row],[make]]), PROPER(automated_driving_report_history_cleaned[[#This Row],[make]]))</f>
        <v>BMW</v>
      </c>
    </row>
    <row r="50" spans="1:1" x14ac:dyDescent="0.25">
      <c r="A50" s="1" t="str">
        <f>IF(automated_driving_report_history_cleaned[[#This Row],[make]] = "BMW", UPPER(automated_driving_report_history_cleaned[[#This Row],[make]]), PROPER(automated_driving_report_history_cleaned[[#This Row],[make]]))</f>
        <v>BMW</v>
      </c>
    </row>
    <row r="51" spans="1:1" x14ac:dyDescent="0.25">
      <c r="A51" s="1" t="str">
        <f>IF(automated_driving_report_history_cleaned[[#This Row],[make]] = "BMW", UPPER(automated_driving_report_history_cleaned[[#This Row],[make]]), PROPER(automated_driving_report_history_cleaned[[#This Row],[make]]))</f>
        <v>BMW</v>
      </c>
    </row>
    <row r="52" spans="1:1" x14ac:dyDescent="0.25">
      <c r="A52" s="1" t="str">
        <f>IF(automated_driving_report_history_cleaned[[#This Row],[make]] = "BMW", UPPER(automated_driving_report_history_cleaned[[#This Row],[make]]), PROPER(automated_driving_report_history_cleaned[[#This Row],[make]]))</f>
        <v>Freightliner</v>
      </c>
    </row>
    <row r="53" spans="1:1" x14ac:dyDescent="0.25">
      <c r="A53" s="1" t="str">
        <f>IF(automated_driving_report_history_cleaned[[#This Row],[make]] = "BMW", UPPER(automated_driving_report_history_cleaned[[#This Row],[make]]), PROPER(automated_driving_report_history_cleaned[[#This Row],[make]]))</f>
        <v>Freightliner</v>
      </c>
    </row>
    <row r="54" spans="1:1" x14ac:dyDescent="0.25">
      <c r="A54" s="1" t="str">
        <f>IF(automated_driving_report_history_cleaned[[#This Row],[make]] = "BMW", UPPER(automated_driving_report_history_cleaned[[#This Row],[make]]), PROPER(automated_driving_report_history_cleaned[[#This Row],[make]]))</f>
        <v>Freightliner</v>
      </c>
    </row>
    <row r="55" spans="1:1" x14ac:dyDescent="0.25">
      <c r="A55" s="1" t="str">
        <f>IF(automated_driving_report_history_cleaned[[#This Row],[make]] = "BMW", UPPER(automated_driving_report_history_cleaned[[#This Row],[make]]), PROPER(automated_driving_report_history_cleaned[[#This Row],[make]]))</f>
        <v>International</v>
      </c>
    </row>
    <row r="56" spans="1:1" x14ac:dyDescent="0.25">
      <c r="A56" s="1" t="str">
        <f>IF(automated_driving_report_history_cleaned[[#This Row],[make]] = "BMW", UPPER(automated_driving_report_history_cleaned[[#This Row],[make]]), PROPER(automated_driving_report_history_cleaned[[#This Row],[make]]))</f>
        <v>International</v>
      </c>
    </row>
    <row r="57" spans="1:1" x14ac:dyDescent="0.25">
      <c r="A57" s="1" t="str">
        <f>IF(automated_driving_report_history_cleaned[[#This Row],[make]] = "BMW", UPPER(automated_driving_report_history_cleaned[[#This Row],[make]]), PROPER(automated_driving_report_history_cleaned[[#This Row],[make]]))</f>
        <v>International</v>
      </c>
    </row>
    <row r="58" spans="1:1" x14ac:dyDescent="0.25">
      <c r="A58" s="1" t="str">
        <f>IF(automated_driving_report_history_cleaned[[#This Row],[make]] = "BMW", UPPER(automated_driving_report_history_cleaned[[#This Row],[make]]), PROPER(automated_driving_report_history_cleaned[[#This Row],[make]]))</f>
        <v>International</v>
      </c>
    </row>
    <row r="59" spans="1:1" x14ac:dyDescent="0.25">
      <c r="A59" s="1" t="str">
        <f>IF(automated_driving_report_history_cleaned[[#This Row],[make]] = "BMW", UPPER(automated_driving_report_history_cleaned[[#This Row],[make]]), PROPER(automated_driving_report_history_cleaned[[#This Row],[make]]))</f>
        <v>Porsche</v>
      </c>
    </row>
    <row r="60" spans="1:1" x14ac:dyDescent="0.25">
      <c r="A60" s="1" t="str">
        <f>IF(automated_driving_report_history_cleaned[[#This Row],[make]] = "BMW", UPPER(automated_driving_report_history_cleaned[[#This Row],[make]]), PROPER(automated_driving_report_history_cleaned[[#This Row],[make]]))</f>
        <v>Subaru</v>
      </c>
    </row>
    <row r="61" spans="1:1" x14ac:dyDescent="0.25">
      <c r="A61" s="1" t="str">
        <f>IF(automated_driving_report_history_cleaned[[#This Row],[make]] = "BMW", UPPER(automated_driving_report_history_cleaned[[#This Row],[make]]), PROPER(automated_driving_report_history_cleaned[[#This Row],[make]]))</f>
        <v>Subaru</v>
      </c>
    </row>
    <row r="62" spans="1:1" x14ac:dyDescent="0.25">
      <c r="A62" s="1" t="str">
        <f>IF(automated_driving_report_history_cleaned[[#This Row],[make]] = "BMW", UPPER(automated_driving_report_history_cleaned[[#This Row],[make]]), PROPER(automated_driving_report_history_cleaned[[#This Row],[make]]))</f>
        <v>Subaru</v>
      </c>
    </row>
    <row r="63" spans="1:1" x14ac:dyDescent="0.25">
      <c r="A63" s="1" t="str">
        <f>IF(automated_driving_report_history_cleaned[[#This Row],[make]] = "BMW", UPPER(automated_driving_report_history_cleaned[[#This Row],[make]]), PROPER(automated_driving_report_history_cleaned[[#This Row],[make]]))</f>
        <v>Subaru</v>
      </c>
    </row>
    <row r="64" spans="1:1" x14ac:dyDescent="0.25">
      <c r="A64" s="1" t="str">
        <f>IF(automated_driving_report_history_cleaned[[#This Row],[make]] = "BMW", UPPER(automated_driving_report_history_cleaned[[#This Row],[make]]), PROPER(automated_driving_report_history_cleaned[[#This Row],[make]]))</f>
        <v>Subaru</v>
      </c>
    </row>
    <row r="65" spans="1:1" x14ac:dyDescent="0.25">
      <c r="A65" s="1" t="str">
        <f>IF(automated_driving_report_history_cleaned[[#This Row],[make]] = "BMW", UPPER(automated_driving_report_history_cleaned[[#This Row],[make]]), PROPER(automated_driving_report_history_cleaned[[#This Row],[make]]))</f>
        <v>Subaru</v>
      </c>
    </row>
    <row r="66" spans="1:1" x14ac:dyDescent="0.25">
      <c r="A66" s="1" t="str">
        <f>IF(automated_driving_report_history_cleaned[[#This Row],[make]] = "BMW", UPPER(automated_driving_report_history_cleaned[[#This Row],[make]]), PROPER(automated_driving_report_history_cleaned[[#This Row],[make]]))</f>
        <v>BMW</v>
      </c>
    </row>
    <row r="67" spans="1:1" x14ac:dyDescent="0.25">
      <c r="A67" s="1" t="str">
        <f>IF(automated_driving_report_history_cleaned[[#This Row],[make]] = "BMW", UPPER(automated_driving_report_history_cleaned[[#This Row],[make]]), PROPER(automated_driving_report_history_cleaned[[#This Row],[make]]))</f>
        <v>BMW</v>
      </c>
    </row>
    <row r="68" spans="1:1" x14ac:dyDescent="0.25">
      <c r="A68" s="1" t="str">
        <f>IF(automated_driving_report_history_cleaned[[#This Row],[make]] = "BMW", UPPER(automated_driving_report_history_cleaned[[#This Row],[make]]), PROPER(automated_driving_report_history_cleaned[[#This Row],[make]]))</f>
        <v>BMW</v>
      </c>
    </row>
    <row r="69" spans="1:1" x14ac:dyDescent="0.25">
      <c r="A69" s="1" t="str">
        <f>IF(automated_driving_report_history_cleaned[[#This Row],[make]] = "BMW", UPPER(automated_driving_report_history_cleaned[[#This Row],[make]]), PROPER(automated_driving_report_history_cleaned[[#This Row],[make]]))</f>
        <v>BMW</v>
      </c>
    </row>
    <row r="70" spans="1:1" x14ac:dyDescent="0.25">
      <c r="A70" s="1" t="str">
        <f>IF(automated_driving_report_history_cleaned[[#This Row],[make]] = "BMW", UPPER(automated_driving_report_history_cleaned[[#This Row],[make]]), PROPER(automated_driving_report_history_cleaned[[#This Row],[make]]))</f>
        <v>BMW</v>
      </c>
    </row>
    <row r="71" spans="1:1" x14ac:dyDescent="0.25">
      <c r="A71" s="1" t="str">
        <f>IF(automated_driving_report_history_cleaned[[#This Row],[make]] = "BMW", UPPER(automated_driving_report_history_cleaned[[#This Row],[make]]), PROPER(automated_driving_report_history_cleaned[[#This Row],[make]]))</f>
        <v>Ford</v>
      </c>
    </row>
    <row r="72" spans="1:1" x14ac:dyDescent="0.25">
      <c r="A72" s="1" t="str">
        <f>IF(automated_driving_report_history_cleaned[[#This Row],[make]] = "BMW", UPPER(automated_driving_report_history_cleaned[[#This Row],[make]]), PROPER(automated_driving_report_history_cleaned[[#This Row],[make]]))</f>
        <v>Freightliner</v>
      </c>
    </row>
    <row r="73" spans="1:1" x14ac:dyDescent="0.25">
      <c r="A73" s="1" t="str">
        <f>IF(automated_driving_report_history_cleaned[[#This Row],[make]] = "BMW", UPPER(automated_driving_report_history_cleaned[[#This Row],[make]]), PROPER(automated_driving_report_history_cleaned[[#This Row],[make]]))</f>
        <v>Freightliner</v>
      </c>
    </row>
    <row r="74" spans="1:1" x14ac:dyDescent="0.25">
      <c r="A74" s="1" t="str">
        <f>IF(automated_driving_report_history_cleaned[[#This Row],[make]] = "BMW", UPPER(automated_driving_report_history_cleaned[[#This Row],[make]]), PROPER(automated_driving_report_history_cleaned[[#This Row],[make]]))</f>
        <v>Subaru</v>
      </c>
    </row>
    <row r="75" spans="1:1" x14ac:dyDescent="0.25">
      <c r="A75" s="1" t="str">
        <f>IF(automated_driving_report_history_cleaned[[#This Row],[make]] = "BMW", UPPER(automated_driving_report_history_cleaned[[#This Row],[make]]), PROPER(automated_driving_report_history_cleaned[[#This Row],[make]]))</f>
        <v>Subaru</v>
      </c>
    </row>
    <row r="76" spans="1:1" x14ac:dyDescent="0.25">
      <c r="A76" s="1" t="str">
        <f>IF(automated_driving_report_history_cleaned[[#This Row],[make]] = "BMW", UPPER(automated_driving_report_history_cleaned[[#This Row],[make]]), PROPER(automated_driving_report_history_cleaned[[#This Row],[make]]))</f>
        <v>Subaru</v>
      </c>
    </row>
    <row r="77" spans="1:1" x14ac:dyDescent="0.25">
      <c r="A77" s="1" t="str">
        <f>IF(automated_driving_report_history_cleaned[[#This Row],[make]] = "BMW", UPPER(automated_driving_report_history_cleaned[[#This Row],[make]]), PROPER(automated_driving_report_history_cleaned[[#This Row],[make]]))</f>
        <v>Subaru</v>
      </c>
    </row>
    <row r="78" spans="1:1" x14ac:dyDescent="0.25">
      <c r="A78" s="1" t="str">
        <f>IF(automated_driving_report_history_cleaned[[#This Row],[make]] = "BMW", UPPER(automated_driving_report_history_cleaned[[#This Row],[make]]), PROPER(automated_driving_report_history_cleaned[[#This Row],[make]]))</f>
        <v>Subaru</v>
      </c>
    </row>
    <row r="79" spans="1:1" x14ac:dyDescent="0.25">
      <c r="A79" s="1" t="str">
        <f>IF(automated_driving_report_history_cleaned[[#This Row],[make]] = "BMW", UPPER(automated_driving_report_history_cleaned[[#This Row],[make]]), PROPER(automated_driving_report_history_cleaned[[#This Row],[make]]))</f>
        <v>Subaru</v>
      </c>
    </row>
    <row r="80" spans="1:1" x14ac:dyDescent="0.25">
      <c r="A80" s="1" t="str">
        <f>IF(automated_driving_report_history_cleaned[[#This Row],[make]] = "BMW", UPPER(automated_driving_report_history_cleaned[[#This Row],[make]]), PROPER(automated_driving_report_history_cleaned[[#This Row],[make]]))</f>
        <v>Toyota</v>
      </c>
    </row>
    <row r="81" spans="1:1" x14ac:dyDescent="0.25">
      <c r="A81" s="1" t="str">
        <f>IF(automated_driving_report_history_cleaned[[#This Row],[make]] = "BMW", UPPER(automated_driving_report_history_cleaned[[#This Row],[make]]), PROPER(automated_driving_report_history_cleaned[[#This Row],[make]]))</f>
        <v>BMW</v>
      </c>
    </row>
    <row r="82" spans="1:1" x14ac:dyDescent="0.25">
      <c r="A82" s="1" t="str">
        <f>IF(automated_driving_report_history_cleaned[[#This Row],[make]] = "BMW", UPPER(automated_driving_report_history_cleaned[[#This Row],[make]]), PROPER(automated_driving_report_history_cleaned[[#This Row],[make]]))</f>
        <v>BMW</v>
      </c>
    </row>
    <row r="83" spans="1:1" x14ac:dyDescent="0.25">
      <c r="A83" s="1" t="str">
        <f>IF(automated_driving_report_history_cleaned[[#This Row],[make]] = "BMW", UPPER(automated_driving_report_history_cleaned[[#This Row],[make]]), PROPER(automated_driving_report_history_cleaned[[#This Row],[make]]))</f>
        <v>BMW</v>
      </c>
    </row>
    <row r="84" spans="1:1" x14ac:dyDescent="0.25">
      <c r="A84" s="1" t="str">
        <f>IF(automated_driving_report_history_cleaned[[#This Row],[make]] = "BMW", UPPER(automated_driving_report_history_cleaned[[#This Row],[make]]), PROPER(automated_driving_report_history_cleaned[[#This Row],[make]]))</f>
        <v>BMW</v>
      </c>
    </row>
    <row r="85" spans="1:1" x14ac:dyDescent="0.25">
      <c r="A85" s="1" t="str">
        <f>IF(automated_driving_report_history_cleaned[[#This Row],[make]] = "BMW", UPPER(automated_driving_report_history_cleaned[[#This Row],[make]]), PROPER(automated_driving_report_history_cleaned[[#This Row],[make]]))</f>
        <v>BMW</v>
      </c>
    </row>
    <row r="86" spans="1:1" x14ac:dyDescent="0.25">
      <c r="A86" s="1" t="str">
        <f>IF(automated_driving_report_history_cleaned[[#This Row],[make]] = "BMW", UPPER(automated_driving_report_history_cleaned[[#This Row],[make]]), PROPER(automated_driving_report_history_cleaned[[#This Row],[make]]))</f>
        <v>Dodge</v>
      </c>
    </row>
    <row r="87" spans="1:1" x14ac:dyDescent="0.25">
      <c r="A87" s="1" t="str">
        <f>IF(automated_driving_report_history_cleaned[[#This Row],[make]] = "BMW", UPPER(automated_driving_report_history_cleaned[[#This Row],[make]]), PROPER(automated_driving_report_history_cleaned[[#This Row],[make]]))</f>
        <v>Freightliner</v>
      </c>
    </row>
    <row r="88" spans="1:1" x14ac:dyDescent="0.25">
      <c r="A88" s="1" t="str">
        <f>IF(automated_driving_report_history_cleaned[[#This Row],[make]] = "BMW", UPPER(automated_driving_report_history_cleaned[[#This Row],[make]]), PROPER(automated_driving_report_history_cleaned[[#This Row],[make]]))</f>
        <v>Subaru</v>
      </c>
    </row>
    <row r="89" spans="1:1" x14ac:dyDescent="0.25">
      <c r="A89" s="1" t="str">
        <f>IF(automated_driving_report_history_cleaned[[#This Row],[make]] = "BMW", UPPER(automated_driving_report_history_cleaned[[#This Row],[make]]), PROPER(automated_driving_report_history_cleaned[[#This Row],[make]]))</f>
        <v>Subaru</v>
      </c>
    </row>
    <row r="90" spans="1:1" x14ac:dyDescent="0.25">
      <c r="A90" s="1" t="str">
        <f>IF(automated_driving_report_history_cleaned[[#This Row],[make]] = "BMW", UPPER(automated_driving_report_history_cleaned[[#This Row],[make]]), PROPER(automated_driving_report_history_cleaned[[#This Row],[make]]))</f>
        <v>Subaru</v>
      </c>
    </row>
    <row r="91" spans="1:1" x14ac:dyDescent="0.25">
      <c r="A91" s="1" t="str">
        <f>IF(automated_driving_report_history_cleaned[[#This Row],[make]] = "BMW", UPPER(automated_driving_report_history_cleaned[[#This Row],[make]]), PROPER(automated_driving_report_history_cleaned[[#This Row],[make]]))</f>
        <v>Subaru</v>
      </c>
    </row>
    <row r="92" spans="1:1" x14ac:dyDescent="0.25">
      <c r="A92" s="1" t="str">
        <f>IF(automated_driving_report_history_cleaned[[#This Row],[make]] = "BMW", UPPER(automated_driving_report_history_cleaned[[#This Row],[make]]), PROPER(automated_driving_report_history_cleaned[[#This Row],[make]]))</f>
        <v>Subaru</v>
      </c>
    </row>
    <row r="93" spans="1:1" x14ac:dyDescent="0.25">
      <c r="A93" s="1" t="str">
        <f>IF(automated_driving_report_history_cleaned[[#This Row],[make]] = "BMW", UPPER(automated_driving_report_history_cleaned[[#This Row],[make]]), PROPER(automated_driving_report_history_cleaned[[#This Row],[make]]))</f>
        <v>Subaru</v>
      </c>
    </row>
    <row r="94" spans="1:1" x14ac:dyDescent="0.25">
      <c r="A94" s="1" t="str">
        <f>IF(automated_driving_report_history_cleaned[[#This Row],[make]] = "BMW", UPPER(automated_driving_report_history_cleaned[[#This Row],[make]]), PROPER(automated_driving_report_history_cleaned[[#This Row],[make]]))</f>
        <v>Subaru</v>
      </c>
    </row>
    <row r="95" spans="1:1" x14ac:dyDescent="0.25">
      <c r="A95" s="1" t="str">
        <f>IF(automated_driving_report_history_cleaned[[#This Row],[make]] = "BMW", UPPER(automated_driving_report_history_cleaned[[#This Row],[make]]), PROPER(automated_driving_report_history_cleaned[[#This Row],[make]]))</f>
        <v>Subaru</v>
      </c>
    </row>
    <row r="96" spans="1:1" x14ac:dyDescent="0.25">
      <c r="A96" s="1" t="str">
        <f>IF(automated_driving_report_history_cleaned[[#This Row],[make]] = "BMW", UPPER(automated_driving_report_history_cleaned[[#This Row],[make]]), PROPER(automated_driving_report_history_cleaned[[#This Row],[make]]))</f>
        <v>Subaru</v>
      </c>
    </row>
    <row r="97" spans="1:1" x14ac:dyDescent="0.25">
      <c r="A97" s="1" t="str">
        <f>IF(automated_driving_report_history_cleaned[[#This Row],[make]] = "BMW", UPPER(automated_driving_report_history_cleaned[[#This Row],[make]]), PROPER(automated_driving_report_history_cleaned[[#This Row],[make]]))</f>
        <v>Subaru</v>
      </c>
    </row>
    <row r="98" spans="1:1" x14ac:dyDescent="0.25">
      <c r="A98" s="1" t="str">
        <f>IF(automated_driving_report_history_cleaned[[#This Row],[make]] = "BMW", UPPER(automated_driving_report_history_cleaned[[#This Row],[make]]), PROPER(automated_driving_report_history_cleaned[[#This Row],[make]]))</f>
        <v>Toyota</v>
      </c>
    </row>
    <row r="99" spans="1:1" x14ac:dyDescent="0.25">
      <c r="A99" s="1" t="str">
        <f>IF(automated_driving_report_history_cleaned[[#This Row],[make]] = "BMW", UPPER(automated_driving_report_history_cleaned[[#This Row],[make]]), PROPER(automated_driving_report_history_cleaned[[#This Row],[make]]))</f>
        <v>BMW</v>
      </c>
    </row>
    <row r="100" spans="1:1" x14ac:dyDescent="0.25">
      <c r="A100" s="1" t="str">
        <f>IF(automated_driving_report_history_cleaned[[#This Row],[make]] = "BMW", UPPER(automated_driving_report_history_cleaned[[#This Row],[make]]), PROPER(automated_driving_report_history_cleaned[[#This Row],[make]]))</f>
        <v>BMW</v>
      </c>
    </row>
    <row r="101" spans="1:1" x14ac:dyDescent="0.25">
      <c r="A101" s="1" t="str">
        <f>IF(automated_driving_report_history_cleaned[[#This Row],[make]] = "BMW", UPPER(automated_driving_report_history_cleaned[[#This Row],[make]]), PROPER(automated_driving_report_history_cleaned[[#This Row],[make]]))</f>
        <v>Freightliner</v>
      </c>
    </row>
    <row r="102" spans="1:1" x14ac:dyDescent="0.25">
      <c r="A102" s="1" t="str">
        <f>IF(automated_driving_report_history_cleaned[[#This Row],[make]] = "BMW", UPPER(automated_driving_report_history_cleaned[[#This Row],[make]]), PROPER(automated_driving_report_history_cleaned[[#This Row],[make]]))</f>
        <v>Freightliner</v>
      </c>
    </row>
    <row r="103" spans="1:1" x14ac:dyDescent="0.25">
      <c r="A103" s="1" t="str">
        <f>IF(automated_driving_report_history_cleaned[[#This Row],[make]] = "BMW", UPPER(automated_driving_report_history_cleaned[[#This Row],[make]]), PROPER(automated_driving_report_history_cleaned[[#This Row],[make]]))</f>
        <v>Freightliner</v>
      </c>
    </row>
    <row r="104" spans="1:1" x14ac:dyDescent="0.25">
      <c r="A104" s="1" t="str">
        <f>IF(automated_driving_report_history_cleaned[[#This Row],[make]] = "BMW", UPPER(automated_driving_report_history_cleaned[[#This Row],[make]]), PROPER(automated_driving_report_history_cleaned[[#This Row],[make]]))</f>
        <v>Mini</v>
      </c>
    </row>
    <row r="105" spans="1:1" x14ac:dyDescent="0.25">
      <c r="A105" s="1" t="str">
        <f>IF(automated_driving_report_history_cleaned[[#This Row],[make]] = "BMW", UPPER(automated_driving_report_history_cleaned[[#This Row],[make]]), PROPER(automated_driving_report_history_cleaned[[#This Row],[make]]))</f>
        <v>Subaru</v>
      </c>
    </row>
    <row r="106" spans="1:1" x14ac:dyDescent="0.25">
      <c r="A106" s="1" t="str">
        <f>IF(automated_driving_report_history_cleaned[[#This Row],[make]] = "BMW", UPPER(automated_driving_report_history_cleaned[[#This Row],[make]]), PROPER(automated_driving_report_history_cleaned[[#This Row],[make]]))</f>
        <v>Subaru</v>
      </c>
    </row>
    <row r="107" spans="1:1" x14ac:dyDescent="0.25">
      <c r="A107" s="1" t="str">
        <f>IF(automated_driving_report_history_cleaned[[#This Row],[make]] = "BMW", UPPER(automated_driving_report_history_cleaned[[#This Row],[make]]), PROPER(automated_driving_report_history_cleaned[[#This Row],[make]]))</f>
        <v>Subaru</v>
      </c>
    </row>
    <row r="108" spans="1:1" x14ac:dyDescent="0.25">
      <c r="A108" s="1" t="str">
        <f>IF(automated_driving_report_history_cleaned[[#This Row],[make]] = "BMW", UPPER(automated_driving_report_history_cleaned[[#This Row],[make]]), PROPER(automated_driving_report_history_cleaned[[#This Row],[make]]))</f>
        <v>Subaru</v>
      </c>
    </row>
    <row r="109" spans="1:1" x14ac:dyDescent="0.25">
      <c r="A109" s="1" t="str">
        <f>IF(automated_driving_report_history_cleaned[[#This Row],[make]] = "BMW", UPPER(automated_driving_report_history_cleaned[[#This Row],[make]]), PROPER(automated_driving_report_history_cleaned[[#This Row],[make]]))</f>
        <v>Subaru</v>
      </c>
    </row>
    <row r="110" spans="1:1" x14ac:dyDescent="0.25">
      <c r="A110" s="1" t="str">
        <f>IF(automated_driving_report_history_cleaned[[#This Row],[make]] = "BMW", UPPER(automated_driving_report_history_cleaned[[#This Row],[make]]), PROPER(automated_driving_report_history_cleaned[[#This Row],[make]]))</f>
        <v>Toyota</v>
      </c>
    </row>
    <row r="111" spans="1:1" x14ac:dyDescent="0.25">
      <c r="A111" s="1" t="str">
        <f>IF(automated_driving_report_history_cleaned[[#This Row],[make]] = "BMW", UPPER(automated_driving_report_history_cleaned[[#This Row],[make]]), PROPER(automated_driving_report_history_cleaned[[#This Row],[make]]))</f>
        <v>Toyota</v>
      </c>
    </row>
    <row r="112" spans="1:1" x14ac:dyDescent="0.25">
      <c r="A112" s="1" t="str">
        <f>IF(automated_driving_report_history_cleaned[[#This Row],[make]] = "BMW", UPPER(automated_driving_report_history_cleaned[[#This Row],[make]]), PROPER(automated_driving_report_history_cleaned[[#This Row],[make]]))</f>
        <v>BMW</v>
      </c>
    </row>
    <row r="113" spans="1:1" x14ac:dyDescent="0.25">
      <c r="A113" s="1" t="str">
        <f>IF(automated_driving_report_history_cleaned[[#This Row],[make]] = "BMW", UPPER(automated_driving_report_history_cleaned[[#This Row],[make]]), PROPER(automated_driving_report_history_cleaned[[#This Row],[make]]))</f>
        <v>BMW</v>
      </c>
    </row>
    <row r="114" spans="1:1" x14ac:dyDescent="0.25">
      <c r="A114" s="1" t="str">
        <f>IF(automated_driving_report_history_cleaned[[#This Row],[make]] = "BMW", UPPER(automated_driving_report_history_cleaned[[#This Row],[make]]), PROPER(automated_driving_report_history_cleaned[[#This Row],[make]]))</f>
        <v>BMW</v>
      </c>
    </row>
    <row r="115" spans="1:1" x14ac:dyDescent="0.25">
      <c r="A115" s="1" t="str">
        <f>IF(automated_driving_report_history_cleaned[[#This Row],[make]] = "BMW", UPPER(automated_driving_report_history_cleaned[[#This Row],[make]]), PROPER(automated_driving_report_history_cleaned[[#This Row],[make]]))</f>
        <v>Ford</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D20BC2-DC0B-4351-AD41-602FD64A975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automated_driving_report_histor</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Bence Kasnyik</dc:creator>
  <cp:lastModifiedBy>Bence Kasnyik</cp:lastModifiedBy>
  <dcterms:created xsi:type="dcterms:W3CDTF">2026-08-18T12:55:05Z</dcterms:created>
  <dcterms:modified xsi:type="dcterms:W3CDTF">2026-08-18T13:55:44Z</dcterms:modified>
</cp:coreProperties>
</file>